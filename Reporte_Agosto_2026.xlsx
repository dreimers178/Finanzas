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e Agosto 2026" sheetId="1" state="visible" r:id="rId1"/>
    <sheet name="Form Responses" sheetId="2" state="visible" r:id="rId2"/>
    <sheet name="Nomenclature" sheetId="3" state="visible" r:id="rId3"/>
    <sheet name="Datos (calculo)" sheetId="4" state="visible" r:id="rId4"/>
    <sheet name="Atipicos Agosto (&gt;7 dias)" sheetId="5" state="visible" r:id="rId5"/>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
    <numFmt numFmtId="166" formatCode="0.0"/>
    <numFmt numFmtId="167" formatCode="0.0%"/>
  </numFmts>
  <fonts count="8">
    <font>
      <name val="Calibri"/>
      <family val="2"/>
      <color theme="1"/>
      <sz val="11"/>
      <scheme val="minor"/>
    </font>
    <font>
      <name val="Arial"/>
      <b val="1"/>
      <color rgb="00FFFFFF"/>
      <sz val="11"/>
    </font>
    <font>
      <name val="Arial"/>
      <sz val="10"/>
    </font>
    <font>
      <name val="Arial"/>
      <b val="1"/>
      <color rgb="001F3864"/>
      <sz val="16"/>
    </font>
    <font>
      <name val="Arial"/>
      <i val="1"/>
      <color rgb="00808080"/>
      <sz val="9"/>
    </font>
    <font>
      <name val="Arial"/>
      <b val="1"/>
      <sz val="10"/>
    </font>
    <font>
      <name val="Arial"/>
      <i val="1"/>
      <color rgb="00808080"/>
      <sz val="8"/>
    </font>
    <font>
      <name val="Arial"/>
      <b val="1"/>
      <color rgb="001F3864"/>
      <sz val="14"/>
    </font>
  </fonts>
  <fills count="5">
    <fill>
      <patternFill/>
    </fill>
    <fill>
      <patternFill patternType="gray125"/>
    </fill>
    <fill>
      <patternFill patternType="solid">
        <fgColor rgb="001F3864"/>
      </patternFill>
    </fill>
    <fill>
      <patternFill patternType="solid">
        <fgColor rgb="002E5496"/>
      </patternFill>
    </fill>
    <fill>
      <patternFill patternType="solid">
        <fgColor rgb="00F4CC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horizontal="left" vertical="center"/>
    </xf>
    <xf numFmtId="0" fontId="1" fillId="2" borderId="1" applyAlignment="1" pivotButton="0" quotePrefix="0" xfId="0">
      <alignment horizontal="center" vertical="center"/>
    </xf>
    <xf numFmtId="0" fontId="5" fillId="0" borderId="1" applyAlignment="1" pivotButton="0" quotePrefix="0" xfId="0">
      <alignment horizontal="left" vertical="center"/>
    </xf>
    <xf numFmtId="1" fontId="2" fillId="0" borderId="1" applyAlignment="1" pivotButton="0" quotePrefix="0" xfId="0">
      <alignment horizontal="center" vertical="center"/>
    </xf>
    <xf numFmtId="166" fontId="2" fillId="0" borderId="1" applyAlignment="1" pivotButton="0" quotePrefix="0" xfId="0">
      <alignment horizontal="center" vertical="center"/>
    </xf>
    <xf numFmtId="167" fontId="2" fillId="0" borderId="1" applyAlignment="1" pivotButton="0" quotePrefix="0" xfId="0">
      <alignment horizontal="center" vertical="center"/>
    </xf>
    <xf numFmtId="1" fontId="5" fillId="0" borderId="1" applyAlignment="1" pivotButton="0" quotePrefix="0" xfId="0">
      <alignment horizontal="center" vertical="center"/>
    </xf>
    <xf numFmtId="166" fontId="5" fillId="0" borderId="1" applyAlignment="1" pivotButton="0" quotePrefix="0" xfId="0">
      <alignment horizontal="center" vertical="center"/>
    </xf>
    <xf numFmtId="167" fontId="5" fillId="0" borderId="1" applyAlignment="1" pivotButton="0" quotePrefix="0" xfId="0">
      <alignment horizontal="center" vertical="center"/>
    </xf>
    <xf numFmtId="0" fontId="2" fillId="0" borderId="1" applyAlignment="1" pivotButton="0" quotePrefix="0" xfId="0">
      <alignment horizontal="left" vertical="center"/>
    </xf>
    <xf numFmtId="0" fontId="6" fillId="0" borderId="0" pivotButton="0" quotePrefix="0" xfId="0"/>
    <xf numFmtId="0" fontId="2" fillId="0" borderId="0" pivotButton="0" quotePrefix="0" xfId="0"/>
    <xf numFmtId="165" fontId="2" fillId="0" borderId="0" pivotButton="0" quotePrefix="0" xfId="0"/>
    <xf numFmtId="0" fontId="1" fillId="2" borderId="1" pivotButton="0" quotePrefix="0" xfId="0"/>
    <xf numFmtId="165" fontId="2" fillId="0" borderId="1" applyAlignment="1" pivotButton="0" quotePrefix="0" xfId="0">
      <alignment horizontal="center" vertical="center"/>
    </xf>
    <xf numFmtId="0" fontId="2" fillId="0" borderId="1" applyAlignment="1" pivotButton="0" quotePrefix="0" xfId="0">
      <alignment horizontal="center" vertical="center"/>
    </xf>
    <xf numFmtId="0" fontId="7" fillId="0" borderId="0" pivotButton="0" quotePrefix="0" xfId="0"/>
    <xf numFmtId="166" fontId="5" fillId="4" borderId="1" applyAlignment="1" pivotButton="0" quotePrefix="0" xfId="0">
      <alignment horizontal="center" vertical="center"/>
    </xf>
    <xf numFmtId="0" fontId="5" fillId="0" borderId="0" pivotButton="0" quotePrefix="0" xfId="0"/>
    <xf numFmtId="166"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showGridLines="0"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13" customWidth="1" min="5" max="5"/>
    <col width="13" customWidth="1" min="6" max="6"/>
  </cols>
  <sheetData>
    <row r="1">
      <c r="A1" s="1" t="inlineStr">
        <is>
          <t>REPORTE DE PORTAL UPLOADS — AGOSTO 2026</t>
        </is>
      </c>
    </row>
    <row r="2">
      <c r="A2" s="2" t="inlineStr">
        <is>
          <t>Resolution Time = Resolved − Submit. Distribución y portal filtrados a agosto; la tabla mensual muestra todos los meses.</t>
        </is>
      </c>
    </row>
    <row r="4">
      <c r="A4" s="3" t="inlineStr">
        <is>
          <t xml:space="preserve">  RESOLUTION TIME POR MES</t>
        </is>
      </c>
    </row>
    <row r="5">
      <c r="A5" s="4" t="inlineStr">
        <is>
          <t>Mes</t>
        </is>
      </c>
      <c r="B5" s="4" t="inlineStr">
        <is>
          <t># Uploads</t>
        </is>
      </c>
      <c r="C5" s="4" t="inlineStr">
        <is>
          <t>Resueltos</t>
        </is>
      </c>
      <c r="D5" s="4" t="inlineStr">
        <is>
          <t>Prom. horas</t>
        </is>
      </c>
      <c r="E5" s="4" t="inlineStr">
        <is>
          <t>Prom. días</t>
        </is>
      </c>
      <c r="F5" s="4" t="inlineStr">
        <is>
          <t>% mismo día</t>
        </is>
      </c>
    </row>
    <row r="6">
      <c r="A6" s="5" t="inlineStr">
        <is>
          <t>2026-06</t>
        </is>
      </c>
      <c r="B6" s="6">
        <f>COUNTIF('Datos (calculo)'!$H$2:$H$169,"2026-06")</f>
        <v/>
      </c>
      <c r="C6" s="6">
        <f>COUNTIFS('Datos (calculo)'!$H$2:$H$169,"2026-06",'Datos (calculo)'!$F$2:$F$169,"&gt;=0")</f>
        <v/>
      </c>
      <c r="D6" s="7">
        <f>IFERROR(ROUND(AVERAGEIF('Datos (calculo)'!$H$2:$H$169,"2026-06",'Datos (calculo)'!$F$2:$F$169),1),0)</f>
        <v/>
      </c>
      <c r="E6" s="7">
        <f>IFERROR(ROUND(AVERAGEIF('Datos (calculo)'!$H$2:$H$169,"2026-06",'Datos (calculo)'!$G$2:$G$169),1),0)</f>
        <v/>
      </c>
      <c r="F6" s="8">
        <f>IFERROR(COUNTIFS('Datos (calculo)'!$H$2:$H$169,"2026-06",'Datos (calculo)'!$F$2:$F$169,"&lt;24")/COUNTIFS('Datos (calculo)'!$H$2:$H$169,"2026-06",'Datos (calculo)'!$F$2:$F$169,"&gt;=0"),0)</f>
        <v/>
      </c>
    </row>
    <row r="7">
      <c r="A7" s="5" t="inlineStr">
        <is>
          <t>2026-07</t>
        </is>
      </c>
      <c r="B7" s="6">
        <f>COUNTIF('Datos (calculo)'!$H$2:$H$169,"2026-07")</f>
        <v/>
      </c>
      <c r="C7" s="6">
        <f>COUNTIFS('Datos (calculo)'!$H$2:$H$169,"2026-07",'Datos (calculo)'!$F$2:$F$169,"&gt;=0")</f>
        <v/>
      </c>
      <c r="D7" s="7">
        <f>IFERROR(ROUND(AVERAGEIF('Datos (calculo)'!$H$2:$H$169,"2026-07",'Datos (calculo)'!$F$2:$F$169),1),0)</f>
        <v/>
      </c>
      <c r="E7" s="7">
        <f>IFERROR(ROUND(AVERAGEIF('Datos (calculo)'!$H$2:$H$169,"2026-07",'Datos (calculo)'!$G$2:$G$169),1),0)</f>
        <v/>
      </c>
      <c r="F7" s="8">
        <f>IFERROR(COUNTIFS('Datos (calculo)'!$H$2:$H$169,"2026-07",'Datos (calculo)'!$F$2:$F$169,"&lt;24")/COUNTIFS('Datos (calculo)'!$H$2:$H$169,"2026-07",'Datos (calculo)'!$F$2:$F$169,"&gt;=0"),0)</f>
        <v/>
      </c>
    </row>
    <row r="8">
      <c r="A8" s="5" t="inlineStr">
        <is>
          <t>2026-08</t>
        </is>
      </c>
      <c r="B8" s="6">
        <f>COUNTIF('Datos (calculo)'!$H$2:$H$169,"2026-08")</f>
        <v/>
      </c>
      <c r="C8" s="6">
        <f>COUNTIFS('Datos (calculo)'!$H$2:$H$169,"2026-08",'Datos (calculo)'!$F$2:$F$169,"&gt;=0")</f>
        <v/>
      </c>
      <c r="D8" s="7">
        <f>IFERROR(ROUND(AVERAGEIF('Datos (calculo)'!$H$2:$H$169,"2026-08",'Datos (calculo)'!$F$2:$F$169),1),0)</f>
        <v/>
      </c>
      <c r="E8" s="7">
        <f>IFERROR(ROUND(AVERAGEIF('Datos (calculo)'!$H$2:$H$169,"2026-08",'Datos (calculo)'!$G$2:$G$169),1),0)</f>
        <v/>
      </c>
      <c r="F8" s="8">
        <f>IFERROR(COUNTIFS('Datos (calculo)'!$H$2:$H$169,"2026-08",'Datos (calculo)'!$F$2:$F$169,"&lt;24")/COUNTIFS('Datos (calculo)'!$H$2:$H$169,"2026-08",'Datos (calculo)'!$F$2:$F$169,"&gt;=0"),0)</f>
        <v/>
      </c>
    </row>
    <row r="9">
      <c r="A9" s="5" t="inlineStr">
        <is>
          <t>TOTAL</t>
        </is>
      </c>
      <c r="B9" s="9">
        <f>SUM(B6:B8)</f>
        <v/>
      </c>
      <c r="C9" s="9">
        <f>SUM(C6:C8)</f>
        <v/>
      </c>
      <c r="D9" s="10">
        <f>ROUND(AVERAGE('Datos (calculo)'!$F$2:$F$169),1)</f>
        <v/>
      </c>
      <c r="E9" s="10">
        <f>ROUND(AVERAGE('Datos (calculo)'!$G$2:$G$169),1)</f>
        <v/>
      </c>
      <c r="F9" s="11">
        <f>IFERROR(COUNTIFS('Datos (calculo)'!$F$2:$F$169,"&lt;24")/COUNT('Datos (calculo)'!$F$2:$F$169),0)</f>
        <v/>
      </c>
    </row>
    <row r="12">
      <c r="A12" s="3" t="inlineStr">
        <is>
          <t xml:space="preserve">  DISTRIBUCIÓN POR TIEMPO DE RESOLUCIÓN — AGOSTO</t>
        </is>
      </c>
    </row>
    <row r="13">
      <c r="A13" s="4" t="inlineStr">
        <is>
          <t>Rango</t>
        </is>
      </c>
      <c r="B13" s="4" t="inlineStr">
        <is>
          <t># Uploads</t>
        </is>
      </c>
      <c r="C13" s="4" t="inlineStr">
        <is>
          <t>% del total</t>
        </is>
      </c>
    </row>
    <row r="14">
      <c r="A14" s="12" t="inlineStr">
        <is>
          <t>Mismo día (&lt; 24 h)</t>
        </is>
      </c>
      <c r="B14" s="6">
        <f>COUNTIFS('Datos (calculo)'!$H$2:$H$169,"2026-08",'Datos (calculo)'!$F$2:$F$169,"&lt;24")</f>
        <v/>
      </c>
      <c r="C14" s="8">
        <f>IFERROR(B14/COUNTIFS('Datos (calculo)'!$H$2:$H$169,"2026-08",'Datos (calculo)'!$F$2:$F$169,"&gt;=0"),0)</f>
        <v/>
      </c>
    </row>
    <row r="15">
      <c r="A15" s="12" t="inlineStr">
        <is>
          <t>1 – 2 días</t>
        </is>
      </c>
      <c r="B15" s="6">
        <f>COUNTIFS('Datos (calculo)'!$H$2:$H$169,"2026-08",'Datos (calculo)'!$F$2:$F$169,"&gt;=24",'Datos (calculo)'!$F$2:$F$169,"&lt;48")</f>
        <v/>
      </c>
      <c r="C15" s="8">
        <f>IFERROR(B15/COUNTIFS('Datos (calculo)'!$H$2:$H$169,"2026-08",'Datos (calculo)'!$F$2:$F$169,"&gt;=0"),0)</f>
        <v/>
      </c>
    </row>
    <row r="16">
      <c r="A16" s="12" t="inlineStr">
        <is>
          <t>2 – 4 días</t>
        </is>
      </c>
      <c r="B16" s="6">
        <f>COUNTIFS('Datos (calculo)'!$H$2:$H$169,"2026-08",'Datos (calculo)'!$F$2:$F$169,"&gt;=48",'Datos (calculo)'!$F$2:$F$169,"&lt;96")</f>
        <v/>
      </c>
      <c r="C16" s="8">
        <f>IFERROR(B16/COUNTIFS('Datos (calculo)'!$H$2:$H$169,"2026-08",'Datos (calculo)'!$F$2:$F$169,"&gt;=0"),0)</f>
        <v/>
      </c>
    </row>
    <row r="17">
      <c r="A17" s="12" t="inlineStr">
        <is>
          <t>4 – 7 días</t>
        </is>
      </c>
      <c r="B17" s="6">
        <f>COUNTIFS('Datos (calculo)'!$H$2:$H$169,"2026-08",'Datos (calculo)'!$F$2:$F$169,"&gt;=96",'Datos (calculo)'!$F$2:$F$169,"&lt;168")</f>
        <v/>
      </c>
      <c r="C17" s="8">
        <f>IFERROR(B17/COUNTIFS('Datos (calculo)'!$H$2:$H$169,"2026-08",'Datos (calculo)'!$F$2:$F$169,"&gt;=0"),0)</f>
        <v/>
      </c>
    </row>
    <row r="18">
      <c r="A18" s="12" t="inlineStr">
        <is>
          <t>Más de 7 días</t>
        </is>
      </c>
      <c r="B18" s="6">
        <f>COUNTIFS('Datos (calculo)'!$H$2:$H$169,"2026-08",'Datos (calculo)'!$F$2:$F$169,"&gt;=168")</f>
        <v/>
      </c>
      <c r="C18" s="8">
        <f>IFERROR(B18/COUNTIFS('Datos (calculo)'!$H$2:$H$169,"2026-08",'Datos (calculo)'!$F$2:$F$169,"&gt;=0"),0)</f>
        <v/>
      </c>
    </row>
    <row r="19">
      <c r="A19" s="5" t="inlineStr">
        <is>
          <t>TOTAL</t>
        </is>
      </c>
      <c r="B19" s="9">
        <f>SUM(B14:B18)</f>
        <v/>
      </c>
      <c r="C19" s="11">
        <f>IFERROR(B19/COUNTIFS('Datos (calculo)'!$H$2:$H$169,"2026-08",'Datos (calculo)'!$F$2:$F$169,"&gt;=0"),0)</f>
        <v/>
      </c>
    </row>
    <row r="22">
      <c r="A22" s="3" t="inlineStr">
        <is>
          <t xml:space="preserve">  RESOLUTION TIME POR PORTAL — AGOSTO</t>
        </is>
      </c>
    </row>
    <row r="23">
      <c r="A23" s="4" t="inlineStr">
        <is>
          <t>Portal</t>
        </is>
      </c>
      <c r="B23" s="4" t="inlineStr">
        <is>
          <t># Uploads</t>
        </is>
      </c>
      <c r="C23" s="4" t="inlineStr">
        <is>
          <t>% del total</t>
        </is>
      </c>
      <c r="D23" s="4" t="inlineStr">
        <is>
          <t>Prom. días</t>
        </is>
      </c>
      <c r="E23" s="4" t="inlineStr">
        <is>
          <t>% mismo día</t>
        </is>
      </c>
    </row>
    <row r="24">
      <c r="A24" s="12" t="inlineStr">
        <is>
          <t>Coupa</t>
        </is>
      </c>
      <c r="B24" s="6">
        <f>COUNTIFS('Datos (calculo)'!$I$2:$I$169,"Coupa",'Datos (calculo)'!$H$2:$H$169,"2026-08")</f>
        <v/>
      </c>
      <c r="C24" s="8">
        <f>IFERROR(COUNTIFS('Datos (calculo)'!$I$2:$I$169,"Coupa",'Datos (calculo)'!$H$2:$H$169,"2026-08")/COUNTIFS('Datos (calculo)'!$H$2:$H$169,"2026-08",'Datos (calculo)'!$F$2:$F$169,"&gt;=0"),0)</f>
        <v/>
      </c>
      <c r="D24" s="7">
        <f>IFERROR(ROUND(AVERAGEIFS('Datos (calculo)'!$G$2:$G$169,'Datos (calculo)'!$I$2:$I$169,"Coupa",'Datos (calculo)'!$H$2:$H$169,"2026-08"),1),0)</f>
        <v/>
      </c>
      <c r="E24" s="8">
        <f>IFERROR(COUNTIFS('Datos (calculo)'!$I$2:$I$169,"Coupa",'Datos (calculo)'!$H$2:$H$169,"2026-08",'Datos (calculo)'!$F$2:$F$169,"&lt;24")/COUNTIFS('Datos (calculo)'!$I$2:$I$169,"Coupa",'Datos (calculo)'!$H$2:$H$169,"2026-08"),0)</f>
        <v/>
      </c>
    </row>
    <row r="25">
      <c r="A25" s="12" t="inlineStr">
        <is>
          <t>Ariba</t>
        </is>
      </c>
      <c r="B25" s="6">
        <f>COUNTIFS('Datos (calculo)'!$I$2:$I$169,"Ariba",'Datos (calculo)'!$H$2:$H$169,"2026-08")</f>
        <v/>
      </c>
      <c r="C25" s="8">
        <f>IFERROR(COUNTIFS('Datos (calculo)'!$I$2:$I$169,"Ariba",'Datos (calculo)'!$H$2:$H$169,"2026-08")/COUNTIFS('Datos (calculo)'!$H$2:$H$169,"2026-08",'Datos (calculo)'!$F$2:$F$169,"&gt;=0"),0)</f>
        <v/>
      </c>
      <c r="D25" s="7">
        <f>IFERROR(ROUND(AVERAGEIFS('Datos (calculo)'!$G$2:$G$169,'Datos (calculo)'!$I$2:$I$169,"Ariba",'Datos (calculo)'!$H$2:$H$169,"2026-08"),1),0)</f>
        <v/>
      </c>
      <c r="E25" s="8">
        <f>IFERROR(COUNTIFS('Datos (calculo)'!$I$2:$I$169,"Ariba",'Datos (calculo)'!$H$2:$H$169,"2026-08",'Datos (calculo)'!$F$2:$F$169,"&lt;24")/COUNTIFS('Datos (calculo)'!$I$2:$I$169,"Ariba",'Datos (calculo)'!$H$2:$H$169,"2026-08"),0)</f>
        <v/>
      </c>
    </row>
    <row r="26">
      <c r="A26" s="12" t="inlineStr">
        <is>
          <t>Oracle</t>
        </is>
      </c>
      <c r="B26" s="6">
        <f>COUNTIFS('Datos (calculo)'!$I$2:$I$169,"Oracle",'Datos (calculo)'!$H$2:$H$169,"2026-08")</f>
        <v/>
      </c>
      <c r="C26" s="8">
        <f>IFERROR(COUNTIFS('Datos (calculo)'!$I$2:$I$169,"Oracle",'Datos (calculo)'!$H$2:$H$169,"2026-08")/COUNTIFS('Datos (calculo)'!$H$2:$H$169,"2026-08",'Datos (calculo)'!$F$2:$F$169,"&gt;=0"),0)</f>
        <v/>
      </c>
      <c r="D26" s="7">
        <f>IFERROR(ROUND(AVERAGEIFS('Datos (calculo)'!$G$2:$G$169,'Datos (calculo)'!$I$2:$I$169,"Oracle",'Datos (calculo)'!$H$2:$H$169,"2026-08"),1),0)</f>
        <v/>
      </c>
      <c r="E26" s="8">
        <f>IFERROR(COUNTIFS('Datos (calculo)'!$I$2:$I$169,"Oracle",'Datos (calculo)'!$H$2:$H$169,"2026-08",'Datos (calculo)'!$F$2:$F$169,"&lt;24")/COUNTIFS('Datos (calculo)'!$I$2:$I$169,"Oracle",'Datos (calculo)'!$H$2:$H$169,"2026-08"),0)</f>
        <v/>
      </c>
    </row>
    <row r="27">
      <c r="A27" s="12" t="inlineStr">
        <is>
          <t>Taulia</t>
        </is>
      </c>
      <c r="B27" s="6">
        <f>COUNTIFS('Datos (calculo)'!$I$2:$I$169,"Taulia",'Datos (calculo)'!$H$2:$H$169,"2026-08")</f>
        <v/>
      </c>
      <c r="C27" s="8">
        <f>IFERROR(COUNTIFS('Datos (calculo)'!$I$2:$I$169,"Taulia",'Datos (calculo)'!$H$2:$H$169,"2026-08")/COUNTIFS('Datos (calculo)'!$H$2:$H$169,"2026-08",'Datos (calculo)'!$F$2:$F$169,"&gt;=0"),0)</f>
        <v/>
      </c>
      <c r="D27" s="7">
        <f>IFERROR(ROUND(AVERAGEIFS('Datos (calculo)'!$G$2:$G$169,'Datos (calculo)'!$I$2:$I$169,"Taulia",'Datos (calculo)'!$H$2:$H$169,"2026-08"),1),0)</f>
        <v/>
      </c>
      <c r="E27" s="8">
        <f>IFERROR(COUNTIFS('Datos (calculo)'!$I$2:$I$169,"Taulia",'Datos (calculo)'!$H$2:$H$169,"2026-08",'Datos (calculo)'!$F$2:$F$169,"&lt;24")/COUNTIFS('Datos (calculo)'!$I$2:$I$169,"Taulia",'Datos (calculo)'!$H$2:$H$169,"2026-08"),0)</f>
        <v/>
      </c>
    </row>
    <row r="28">
      <c r="A28" s="12" t="inlineStr">
        <is>
          <t>Portal por URL</t>
        </is>
      </c>
      <c r="B28" s="6">
        <f>COUNTIFS('Datos (calculo)'!$I$2:$I$169,"Portal por URL",'Datos (calculo)'!$H$2:$H$169,"2026-08")</f>
        <v/>
      </c>
      <c r="C28" s="8">
        <f>IFERROR(COUNTIFS('Datos (calculo)'!$I$2:$I$169,"Portal por URL",'Datos (calculo)'!$H$2:$H$169,"2026-08")/COUNTIFS('Datos (calculo)'!$H$2:$H$169,"2026-08",'Datos (calculo)'!$F$2:$F$169,"&gt;=0"),0)</f>
        <v/>
      </c>
      <c r="D28" s="7">
        <f>IFERROR(ROUND(AVERAGEIFS('Datos (calculo)'!$G$2:$G$169,'Datos (calculo)'!$I$2:$I$169,"Portal por URL",'Datos (calculo)'!$H$2:$H$169,"2026-08"),1),0)</f>
        <v/>
      </c>
      <c r="E28" s="8">
        <f>IFERROR(COUNTIFS('Datos (calculo)'!$I$2:$I$169,"Portal por URL",'Datos (calculo)'!$H$2:$H$169,"2026-08",'Datos (calculo)'!$F$2:$F$169,"&lt;24")/COUNTIFS('Datos (calculo)'!$I$2:$I$169,"Portal por URL",'Datos (calculo)'!$H$2:$H$169,"2026-08"),0)</f>
        <v/>
      </c>
    </row>
    <row r="29">
      <c r="A29" s="12" t="inlineStr">
        <is>
          <t>Otros</t>
        </is>
      </c>
      <c r="B29" s="6" t="n">
        <v>3</v>
      </c>
      <c r="C29" s="8">
        <f>IFERROR(B29/COUNTIFS('Datos (calculo)'!$H$2:$H$169,"2026-08",'Datos (calculo)'!$F$2:$F$169,"&gt;=0"),0)</f>
        <v/>
      </c>
      <c r="D29" s="7" t="n">
        <v>6.5</v>
      </c>
      <c r="E29" s="8" t="n">
        <v>0.667</v>
      </c>
    </row>
    <row r="30">
      <c r="A30" s="5" t="inlineStr">
        <is>
          <t>TOTAL</t>
        </is>
      </c>
      <c r="B30" s="9">
        <f>COUNTIFS('Datos (calculo)'!$H$2:$H$169,"2026-08",'Datos (calculo)'!$F$2:$F$169,"&gt;=0")</f>
        <v/>
      </c>
      <c r="C30" s="11">
        <f>IFERROR(B30/COUNTIFS('Datos (calculo)'!$H$2:$H$169,"2026-08",'Datos (calculo)'!$F$2:$F$169,"&gt;=0"),0)</f>
        <v/>
      </c>
      <c r="D30" s="10">
        <f>ROUND(AVERAGEIF('Datos (calculo)'!$H$2:$H$169,"2026-08",'Datos (calculo)'!$G$2:$G$169),1)</f>
        <v/>
      </c>
      <c r="E30" s="11">
        <f>IFERROR(COUNTIFS('Datos (calculo)'!$H$2:$H$169,"2026-08",'Datos (calculo)'!$F$2:$F$169,"&lt;24")/COUNTIFS('Datos (calculo)'!$H$2:$H$169,"2026-08",'Datos (calculo)'!$F$2:$F$169,"&gt;=0"),0)</f>
        <v/>
      </c>
    </row>
    <row r="31">
      <c r="A31" s="13" t="inlineStr">
        <is>
          <t>Portales normalizados (Ariba/ARIBA/ariba → Ariba, etc.). Fila 'Otros' agrupa portales de 1 upload.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4" t="inlineStr">
        <is>
          <t>Message link</t>
        </is>
      </c>
      <c r="B1" s="4" t="inlineStr">
        <is>
          <t>Invoice Number</t>
        </is>
      </c>
      <c r="C1" s="4" t="inlineStr">
        <is>
          <t>Invoice Amount</t>
        </is>
      </c>
      <c r="D1" s="4" t="inlineStr">
        <is>
          <t>Portal Name or Link</t>
        </is>
      </c>
      <c r="E1" s="4" t="inlineStr">
        <is>
          <t>PO Number</t>
        </is>
      </c>
      <c r="F1" s="4" t="inlineStr">
        <is>
          <t>Special instructions / notes</t>
        </is>
      </c>
      <c r="G1" s="4" t="inlineStr">
        <is>
          <t>Submitted By</t>
        </is>
      </c>
      <c r="H1" s="4" t="inlineStr">
        <is>
          <t>Timestamp</t>
        </is>
      </c>
      <c r="I1" s="4" t="inlineStr">
        <is>
          <t>Status</t>
        </is>
      </c>
      <c r="J1" s="4" t="inlineStr">
        <is>
          <t>Emoji</t>
        </is>
      </c>
      <c r="K1" s="4" t="inlineStr">
        <is>
          <t>Assignment Trigger</t>
        </is>
      </c>
      <c r="L1" s="4" t="inlineStr">
        <is>
          <t>Collector assigned</t>
        </is>
      </c>
      <c r="M1" s="4" t="inlineStr">
        <is>
          <t>Message Timestamp</t>
        </is>
      </c>
      <c r="N1" s="4" t="inlineStr">
        <is>
          <t>Resolution Time</t>
        </is>
      </c>
    </row>
    <row r="2">
      <c r="A2" s="14" t="inlineStr">
        <is>
          <t>https://qualtrics.slack.com/archives/C0A4LNX9SKW/p1766438869224269</t>
        </is>
      </c>
      <c r="B2" s="14" t="inlineStr">
        <is>
          <t>test</t>
        </is>
      </c>
      <c r="C2" s="14" t="inlineStr">
        <is>
          <t>test</t>
        </is>
      </c>
      <c r="D2" s="14" t="inlineStr">
        <is>
          <t>test</t>
        </is>
      </c>
      <c r="E2" s="14" t="inlineStr">
        <is>
          <t>t</t>
        </is>
      </c>
      <c r="F2" s="14" t="inlineStr">
        <is>
          <t>t</t>
        </is>
      </c>
      <c r="G2" s="14" t="inlineStr">
        <is>
          <t>Alejandra Mendoza</t>
        </is>
      </c>
      <c r="H2" s="15" t="n">
        <v>46013.89421296296</v>
      </c>
      <c r="I2" s="14" t="inlineStr">
        <is>
          <t>white_check_mark</t>
        </is>
      </c>
      <c r="J2" s="14" t="inlineStr">
        <is>
          <t>✅</t>
        </is>
      </c>
      <c r="K2" s="14" t="inlineStr">
        <is>
          <t>@alejandram</t>
        </is>
      </c>
      <c r="L2" s="14" t="n"/>
      <c r="M2" s="14" t="n"/>
      <c r="N2" s="14" t="e">
        <v>#NUM!</v>
      </c>
    </row>
    <row r="3">
      <c r="A3" s="14" t="inlineStr">
        <is>
          <t>https://qualtrics.slack.com/archives/C02KP7NE6FP/p1780429636081279</t>
        </is>
      </c>
      <c r="B3" s="14" t="inlineStr">
        <is>
          <t>QILNEW1915</t>
        </is>
      </c>
      <c r="C3" s="14" t="n">
        <v>4970</v>
      </c>
      <c r="D3" s="14" t="inlineStr">
        <is>
          <t>BMW portal</t>
        </is>
      </c>
      <c r="E3" s="14" t="inlineStr">
        <is>
          <t>F495QVF</t>
        </is>
      </c>
      <c r="F3" s="14" t="n"/>
      <c r="G3" s="14" t="inlineStr">
        <is>
          <t>Alejandra Mendoza</t>
        </is>
      </c>
      <c r="H3" s="15" t="n">
        <v>46175.57368055556</v>
      </c>
      <c r="I3" s="14" t="inlineStr">
        <is>
          <t>white_check_mark</t>
        </is>
      </c>
      <c r="J3" s="14" t="inlineStr">
        <is>
          <t>✅</t>
        </is>
      </c>
      <c r="K3" s="14" t="inlineStr">
        <is>
          <t>@dreimers</t>
        </is>
      </c>
      <c r="L3" s="14" t="inlineStr">
        <is>
          <t>@dreimers</t>
        </is>
      </c>
      <c r="M3" s="15" t="n">
        <v>46176.46725694444</v>
      </c>
      <c r="N3" s="14" t="inlineStr">
        <is>
          <t>0 days 21 hrs</t>
        </is>
      </c>
    </row>
    <row r="4">
      <c r="A4" s="14" t="inlineStr">
        <is>
          <t>https://qualtrics.slack.com/archives/C02KP7NE6FP/p1780504068556039</t>
        </is>
      </c>
      <c r="B4" s="14" t="inlineStr">
        <is>
          <t>INV00020111</t>
        </is>
      </c>
      <c r="C4" s="14" t="inlineStr">
        <is>
          <t>1,892,527.00 AUD</t>
        </is>
      </c>
      <c r="D4" s="14" t="inlineStr">
        <is>
          <t>Ariba</t>
        </is>
      </c>
      <c r="E4" s="14" t="n">
        <v>3233945</v>
      </c>
      <c r="F4" s="14" t="inlineStr">
        <is>
          <t>Hi Diego, could you please help me with this upload? Thanks!</t>
        </is>
      </c>
      <c r="G4" s="14" t="inlineStr">
        <is>
          <t>Daniela Gomez Viscaino</t>
        </is>
      </c>
      <c r="H4" s="15" t="n">
        <v>46176.43505787037</v>
      </c>
      <c r="I4" s="14" t="inlineStr">
        <is>
          <t>white_check_mark</t>
        </is>
      </c>
      <c r="J4" s="14" t="inlineStr">
        <is>
          <t>✅</t>
        </is>
      </c>
      <c r="K4" s="14" t="inlineStr">
        <is>
          <t>@dreimers</t>
        </is>
      </c>
      <c r="L4" s="14" t="inlineStr">
        <is>
          <t>@dreimers</t>
        </is>
      </c>
      <c r="M4" s="15" t="n">
        <v>46176.56564814815</v>
      </c>
      <c r="N4" s="14" t="inlineStr">
        <is>
          <t>0 days 3 hrs</t>
        </is>
      </c>
    </row>
    <row r="5">
      <c r="A5" s="14" t="inlineStr">
        <is>
          <t>https://qualtrics.slack.com/archives/C02KP7NE6FP/p1780506681567439</t>
        </is>
      </c>
      <c r="B5" s="14" t="inlineStr">
        <is>
          <t>Not Generated</t>
        </is>
      </c>
      <c r="C5" s="14" t="inlineStr">
        <is>
          <t>EUR 5,000.00</t>
        </is>
      </c>
      <c r="D5" s="14" t="inlineStr">
        <is>
          <t>http://chorus-pro.gouv.fr</t>
        </is>
      </c>
      <c r="E5" s="14" t="n">
        <v>4500474677</v>
      </c>
      <c r="F5" s="14" t="inlineStr">
        <is>
          <t>SFDC Account: https://qualtrics.lightning.force.com/lightning/r/Account__c/0015000000kh2e6AAA/view SFDC Opp/Quote: https://qualtrics.lightning.force.com/lightning/r/Opportunity/006VH00000QU1FpYAL/view  Request Details: Hi Team,  Once the invoice is issued (SO case already created 🤓!), could you kindly manage the portal upload?  Info: 1. Portal: Chorus Pro (http://chorus-pro.gouv.fr) 2. SIRET number: 93823061200013 3. Legal commitment number (PO number): 4500474677   AS:ZZ_C89C4CE975D948F8</t>
        </is>
      </c>
      <c r="G5" s="14" t="inlineStr">
        <is>
          <t>Kaushal Hogade</t>
        </is>
      </c>
      <c r="H5" s="15" t="n">
        <v>46176.46344907407</v>
      </c>
      <c r="I5" s="14" t="inlineStr">
        <is>
          <t>white_check_mark</t>
        </is>
      </c>
      <c r="J5" s="14" t="inlineStr">
        <is>
          <t>✅</t>
        </is>
      </c>
      <c r="K5" s="14" t="inlineStr">
        <is>
          <t>@dreimers</t>
        </is>
      </c>
      <c r="L5" s="14" t="inlineStr">
        <is>
          <t>@dreimers</t>
        </is>
      </c>
      <c r="M5" s="15" t="n">
        <v>46177.52550925926</v>
      </c>
      <c r="N5" s="14" t="inlineStr">
        <is>
          <t>1 days 1 hrs</t>
        </is>
      </c>
    </row>
    <row r="6">
      <c r="A6" s="14" t="inlineStr">
        <is>
          <t>https://qualtrics.slack.com/archives/C02KP7NE6FP/p1780515629982839</t>
        </is>
      </c>
      <c r="B6" s="14" t="inlineStr">
        <is>
          <t>INV00019964</t>
        </is>
      </c>
      <c r="C6" s="14" t="n">
        <v>135239</v>
      </c>
      <c r="D6" s="14" t="inlineStr">
        <is>
          <t>Coupa</t>
        </is>
      </c>
      <c r="E6" s="14" t="inlineStr">
        <is>
          <t>MPO106786</t>
        </is>
      </c>
      <c r="F6" s="14" t="n"/>
      <c r="G6" s="14" t="inlineStr">
        <is>
          <t>Daniela Gomez Viscaino</t>
        </is>
      </c>
      <c r="H6" s="15" t="n">
        <v>46176.56909722222</v>
      </c>
      <c r="I6" s="14" t="inlineStr">
        <is>
          <t>white_check_mark</t>
        </is>
      </c>
      <c r="J6" s="14" t="inlineStr">
        <is>
          <t>✅</t>
        </is>
      </c>
      <c r="K6" s="14" t="inlineStr">
        <is>
          <t>@dreimers</t>
        </is>
      </c>
      <c r="L6" s="14" t="inlineStr">
        <is>
          <t>@dreimers</t>
        </is>
      </c>
      <c r="M6" s="15" t="n">
        <v>46177.51328703704</v>
      </c>
      <c r="N6" s="14" t="inlineStr">
        <is>
          <t>0 days 22 hrs</t>
        </is>
      </c>
    </row>
    <row r="7">
      <c r="A7" s="14" t="inlineStr">
        <is>
          <t>https://qualtrics.slack.com/archives/C02KP7NE6FP/p1780607713987399</t>
        </is>
      </c>
      <c r="B7" s="14" t="n">
        <v>469020</v>
      </c>
      <c r="C7" s="14" t="n">
        <v>9038.139999999999</v>
      </c>
      <c r="D7" s="14" t="inlineStr">
        <is>
          <t>Ariba</t>
        </is>
      </c>
      <c r="E7" s="14" t="inlineStr">
        <is>
          <t>PO604178</t>
        </is>
      </c>
      <c r="F7" s="14" t="inlineStr">
        <is>
          <t>Hi team! Could please submit this invoice to the Ariba portal? If the invoice has been submitted, please just confirm, as the customer is not seeing the invoice. Thanks in advance!</t>
        </is>
      </c>
      <c r="G7" s="14" t="inlineStr">
        <is>
          <t>Maria Granja</t>
        </is>
      </c>
      <c r="H7" s="15" t="n">
        <v>46177.63385416667</v>
      </c>
      <c r="I7" s="14" t="inlineStr">
        <is>
          <t>white_check_mark</t>
        </is>
      </c>
      <c r="J7" s="14" t="inlineStr">
        <is>
          <t>✅</t>
        </is>
      </c>
      <c r="K7" s="14" t="inlineStr">
        <is>
          <t>@dreimers</t>
        </is>
      </c>
      <c r="L7" s="14" t="inlineStr">
        <is>
          <t>@dreimers</t>
        </is>
      </c>
      <c r="M7" s="15" t="n">
        <v>46178.41920138889</v>
      </c>
      <c r="N7" s="14" t="inlineStr">
        <is>
          <t>0 days 18 hrs</t>
        </is>
      </c>
    </row>
    <row r="8">
      <c r="A8" s="14" t="inlineStr">
        <is>
          <t>https://qualtrics.slack.com/archives/C02KP7NE6FP/p1780635236655159</t>
        </is>
      </c>
      <c r="B8" s="14" t="n">
        <v>468868</v>
      </c>
      <c r="C8" s="14" t="n">
        <v>12630</v>
      </c>
      <c r="D8" s="14" t="inlineStr">
        <is>
          <t>Ariba</t>
        </is>
      </c>
      <c r="E8" s="14" t="inlineStr">
        <is>
          <t>PO3286327</t>
        </is>
      </c>
      <c r="F8" s="14" t="inlineStr">
        <is>
          <t>Hi team, can you please try re-uploading the attached invoice to Ariba? The client is encountering an error on their end (screenshot attached). It looks like there was an issue with the file.Can you please advise on how we can troubleshoot this error? Thank you!</t>
        </is>
      </c>
      <c r="G8" s="14" t="inlineStr">
        <is>
          <t>Ashley Hudson</t>
        </is>
      </c>
      <c r="H8" s="15" t="n">
        <v>46177.95206018518</v>
      </c>
      <c r="I8" s="14" t="inlineStr">
        <is>
          <t>white_check_mark</t>
        </is>
      </c>
      <c r="J8" s="14" t="inlineStr">
        <is>
          <t>✅</t>
        </is>
      </c>
      <c r="K8" s="14" t="inlineStr">
        <is>
          <t>@dreimers</t>
        </is>
      </c>
      <c r="L8" s="14" t="inlineStr">
        <is>
          <t>@dreimers</t>
        </is>
      </c>
      <c r="M8" s="15" t="n">
        <v>46197.53972222222</v>
      </c>
      <c r="N8" s="14" t="inlineStr">
        <is>
          <t>19 days 14 hrs</t>
        </is>
      </c>
    </row>
    <row r="9">
      <c r="A9" s="14" t="inlineStr">
        <is>
          <t>https://qualtrics.slack.com/archives/C02KP7NE6FP/p1780644026629379</t>
        </is>
      </c>
      <c r="B9" s="14" t="inlineStr">
        <is>
          <t>INV00020070 / INV00020071 / INV00020069 / 469136</t>
        </is>
      </c>
      <c r="C9" s="14" t="inlineStr">
        <is>
          <t>See below</t>
        </is>
      </c>
      <c r="D9" s="14" t="inlineStr">
        <is>
          <t>Taulia</t>
        </is>
      </c>
      <c r="E9" s="14" t="inlineStr">
        <is>
          <t>See below</t>
        </is>
      </c>
      <c r="F9" s="14" t="inlineStr">
        <is>
          <t>See replies for PO and amount details. Thank you!</t>
        </is>
      </c>
      <c r="G9" s="14" t="inlineStr">
        <is>
          <t>Ashley Hudson</t>
        </is>
      </c>
      <c r="H9" s="15" t="n">
        <v>46178.05136574074</v>
      </c>
      <c r="I9" s="14" t="inlineStr">
        <is>
          <t>white_check_mark</t>
        </is>
      </c>
      <c r="J9" s="14" t="inlineStr">
        <is>
          <t>✅</t>
        </is>
      </c>
      <c r="K9" s="14" t="inlineStr">
        <is>
          <t>@dreimers</t>
        </is>
      </c>
      <c r="L9" s="14" t="inlineStr">
        <is>
          <t>@dreimers</t>
        </is>
      </c>
      <c r="M9" s="15" t="n">
        <v>46178.56423611111</v>
      </c>
      <c r="N9" s="14" t="inlineStr">
        <is>
          <t>0 days 12 hrs</t>
        </is>
      </c>
    </row>
    <row r="10">
      <c r="A10" s="14" t="inlineStr">
        <is>
          <t>https://qualtrics.slack.com/archives/C02KP7NE6FP/p1780688144531449</t>
        </is>
      </c>
      <c r="B10" s="14" t="n"/>
      <c r="C10" s="14" t="inlineStr">
        <is>
          <t>8.5K</t>
        </is>
      </c>
      <c r="D10" s="14" t="inlineStr">
        <is>
          <t>Ariba</t>
        </is>
      </c>
      <c r="E10" s="14" t="n"/>
      <c r="F10" s="14" t="inlineStr">
        <is>
          <t>We have an opp we can't process because we are waiting for the PO#. Client said that the PO# is already in Ariba. Can you please look into Ariba and see if there is a PO for that amount ($8500 USD)?. If there is one, can you share it so I can update the PO is SFDC and process the opp?</t>
        </is>
      </c>
      <c r="G10" s="14" t="inlineStr">
        <is>
          <t>Pamella Covarrubias</t>
        </is>
      </c>
      <c r="H10" s="15" t="n">
        <v>46178.56515046296</v>
      </c>
      <c r="I10" s="14" t="inlineStr">
        <is>
          <t>white_check_mark</t>
        </is>
      </c>
      <c r="J10" s="14" t="inlineStr">
        <is>
          <t>✅</t>
        </is>
      </c>
      <c r="K10" s="14" t="inlineStr">
        <is>
          <t>@edeanda</t>
        </is>
      </c>
      <c r="L10" s="14" t="inlineStr">
        <is>
          <t>@dreimers</t>
        </is>
      </c>
      <c r="M10" s="15" t="n">
        <v>46178.60672453704</v>
      </c>
      <c r="N10" s="14" t="inlineStr">
        <is>
          <t>0 days 0 hrs</t>
        </is>
      </c>
    </row>
    <row r="11">
      <c r="A11" s="14" t="inlineStr">
        <is>
          <t>https://qualtrics.slack.com/archives/C02KP7NE6FP/p1780690569170249</t>
        </is>
      </c>
      <c r="B11" s="14" t="n">
        <v>466580</v>
      </c>
      <c r="C11" s="14" t="n">
        <v>5198.48</v>
      </c>
      <c r="D11" s="14" t="inlineStr">
        <is>
          <t>https://www.vendors.gov.sg/</t>
        </is>
      </c>
      <c r="E11" s="14" t="n">
        <v>6000241132</v>
      </c>
      <c r="F11" s="14" t="inlineStr">
        <is>
          <t>Hello Team, The customer requested for e-invoice via vendors@gov for PO #6000241132 under vendor ID: Y286982. I have attached the guide for e-invoice submission via vendors@gov for your reference</t>
        </is>
      </c>
      <c r="G11" s="14" t="inlineStr">
        <is>
          <t>Nikhil Anjikar</t>
        </is>
      </c>
      <c r="H11" s="15" t="n">
        <v>46178.58784722222</v>
      </c>
      <c r="I11" s="14" t="inlineStr">
        <is>
          <t>white_check_mark</t>
        </is>
      </c>
      <c r="J11" s="14" t="inlineStr">
        <is>
          <t>✅</t>
        </is>
      </c>
      <c r="K11" s="14" t="inlineStr">
        <is>
          <t>@nanjikar</t>
        </is>
      </c>
      <c r="L11" s="14" t="inlineStr">
        <is>
          <t>@dreimers</t>
        </is>
      </c>
      <c r="M11" s="15" t="n">
        <v>46183.64862268518</v>
      </c>
      <c r="N11" s="14" t="inlineStr">
        <is>
          <t>5 days 1 hrs</t>
        </is>
      </c>
    </row>
    <row r="12">
      <c r="A12" s="14" t="inlineStr">
        <is>
          <t>https://qualtrics.slack.com/archives/C02KP7NE6FP/p1780948263572659</t>
        </is>
      </c>
      <c r="B12" s="14" t="inlineStr">
        <is>
          <t>INV00020293</t>
        </is>
      </c>
      <c r="C12" s="14" t="inlineStr">
        <is>
          <t>Google</t>
        </is>
      </c>
      <c r="D12" s="14" t="inlineStr">
        <is>
          <t>Google</t>
        </is>
      </c>
      <c r="E12" s="14" t="n">
        <v>4100794478</v>
      </c>
      <c r="F12" s="14" t="inlineStr">
        <is>
          <t>Hi team, can you please upload this invoice? Thanks</t>
        </is>
      </c>
      <c r="G12" s="14" t="inlineStr">
        <is>
          <t>Daniela Gomez Viscaino</t>
        </is>
      </c>
      <c r="H12" s="15" t="n">
        <v>46181.57627314814</v>
      </c>
      <c r="I12" s="14" t="inlineStr">
        <is>
          <t>white_check_mark</t>
        </is>
      </c>
      <c r="J12" s="14" t="inlineStr">
        <is>
          <t>✅</t>
        </is>
      </c>
      <c r="K12" s="14" t="inlineStr">
        <is>
          <t>@dreimers</t>
        </is>
      </c>
      <c r="L12" s="14" t="inlineStr">
        <is>
          <t>@dreimers</t>
        </is>
      </c>
      <c r="M12" s="15" t="n">
        <v>46182.33144675926</v>
      </c>
      <c r="N12" s="14" t="inlineStr">
        <is>
          <t>0 days 18 hrs</t>
        </is>
      </c>
    </row>
    <row r="13">
      <c r="A13" s="14" t="inlineStr">
        <is>
          <t>https://qualtrics.slack.com/archives/C02KP7NE6FP/p1781116613992809</t>
        </is>
      </c>
      <c r="B13" s="14" t="inlineStr">
        <is>
          <t>unknown</t>
        </is>
      </c>
      <c r="C13" s="14" t="inlineStr">
        <is>
          <t>unknown</t>
        </is>
      </c>
      <c r="D13" s="14" t="inlineStr">
        <is>
          <t>Coupa</t>
        </is>
      </c>
      <c r="E13" s="14" t="n">
        <v>491884</v>
      </c>
      <c r="F13" s="14" t="inlineStr">
        <is>
          <t>Hi team! We received a ticket from the client "Coppel, S.A. de C.V." requesting the following:  "Could you help us by uploading the documents so we can continue with the receipt and payment process? Invoice, XML, proof of ownership document, goods receipt form signed by the supplier and the Coppel user department, and the supplementary questionnaire. Regards.." No invoice was attached for reference and the PO# is not linked to any Opp in SFDC. Could you track it in the portal?</t>
        </is>
      </c>
      <c r="G13" s="14" t="inlineStr">
        <is>
          <t>Eduardo Rivera</t>
        </is>
      </c>
      <c r="H13" s="15" t="n">
        <v>46183.52278935185</v>
      </c>
      <c r="I13" s="14" t="inlineStr">
        <is>
          <t>white_check_mark</t>
        </is>
      </c>
      <c r="J13" s="14" t="inlineStr">
        <is>
          <t>✅</t>
        </is>
      </c>
      <c r="K13" s="14" t="inlineStr">
        <is>
          <t>@dreimers</t>
        </is>
      </c>
      <c r="L13" s="14" t="inlineStr">
        <is>
          <t>@dreimers</t>
        </is>
      </c>
      <c r="M13" s="15" t="n">
        <v>46183.6115162037</v>
      </c>
      <c r="N13" s="14" t="inlineStr">
        <is>
          <t>0 days 2 hrs</t>
        </is>
      </c>
    </row>
    <row r="14">
      <c r="A14" s="14" t="inlineStr">
        <is>
          <t>https://qualtrics.slack.com/archives/C02KP7NE6FP/p1781130261976739</t>
        </is>
      </c>
      <c r="B14" s="14" t="n">
        <v>470660</v>
      </c>
      <c r="C14" s="14" t="n">
        <v>412500</v>
      </c>
      <c r="D14" s="14" t="inlineStr">
        <is>
          <t>Coupa</t>
        </is>
      </c>
      <c r="E14" s="14" t="n">
        <v>8005355996</v>
      </c>
      <c r="F14" s="14" t="inlineStr">
        <is>
          <t>Client was setup in Coupa under Procter &amp; Gamble - 0015285300.CL</t>
        </is>
      </c>
      <c r="G14" s="14" t="inlineStr">
        <is>
          <t>Jose Novelo</t>
        </is>
      </c>
      <c r="H14" s="15" t="n">
        <v>46183.68313657407</v>
      </c>
      <c r="I14" s="14" t="inlineStr">
        <is>
          <t>white_check_mark</t>
        </is>
      </c>
      <c r="J14" s="14" t="inlineStr">
        <is>
          <t>✅</t>
        </is>
      </c>
      <c r="K14" s="14" t="inlineStr">
        <is>
          <t>@dreimers</t>
        </is>
      </c>
      <c r="L14" s="14" t="inlineStr">
        <is>
          <t>@dreimers</t>
        </is>
      </c>
      <c r="M14" s="15" t="n">
        <v>46197.54549768518</v>
      </c>
      <c r="N14" s="14" t="inlineStr">
        <is>
          <t>13 days 20 hrs</t>
        </is>
      </c>
    </row>
    <row r="15">
      <c r="A15" s="14" t="inlineStr">
        <is>
          <t>https://qualtrics.slack.com/archives/C02KP7NE6FP/p1781130682061729</t>
        </is>
      </c>
      <c r="B15" s="14" t="n">
        <v>470678</v>
      </c>
      <c r="C15" s="14" t="n">
        <v>194850</v>
      </c>
      <c r="D15" s="14" t="inlineStr">
        <is>
          <t>Awrostamani Portal</t>
        </is>
      </c>
      <c r="E15" s="14" t="inlineStr">
        <is>
          <t>389168 - 0</t>
        </is>
      </c>
      <c r="F15" s="14" t="n"/>
      <c r="G15" s="14" t="inlineStr">
        <is>
          <t>Jose Novelo</t>
        </is>
      </c>
      <c r="H15" s="15" t="n">
        <v>46183.68783564815</v>
      </c>
      <c r="I15" s="14" t="inlineStr">
        <is>
          <t>white_check_mark</t>
        </is>
      </c>
      <c r="J15" s="14" t="inlineStr">
        <is>
          <t>✅</t>
        </is>
      </c>
      <c r="K15" s="14" t="inlineStr">
        <is>
          <t>@dreimers</t>
        </is>
      </c>
      <c r="L15" s="14" t="inlineStr">
        <is>
          <t>@dreimers</t>
        </is>
      </c>
      <c r="M15" s="15" t="n">
        <v>46185.421875</v>
      </c>
      <c r="N15" s="14" t="inlineStr">
        <is>
          <t>1 days 17 hrs</t>
        </is>
      </c>
    </row>
    <row r="16">
      <c r="A16" s="14" t="inlineStr">
        <is>
          <t>https://qualtrics.slack.com/archives/C02KP7NE6FP/p1781242703251409</t>
        </is>
      </c>
      <c r="B16" s="14" t="n">
        <v>462239</v>
      </c>
      <c r="C16" s="14" t="n"/>
      <c r="D16" s="14" t="inlineStr">
        <is>
          <t>Coupa</t>
        </is>
      </c>
      <c r="E16" s="14" t="n"/>
      <c r="F16" s="14" t="inlineStr">
        <is>
          <t>Hi Team, client has requested we void the second entry here as it is invalid/duplicate. Please access platform and adjust</t>
        </is>
      </c>
      <c r="G16" s="14" t="inlineStr">
        <is>
          <t>Saiyon Tanaka</t>
        </is>
      </c>
      <c r="H16" s="15" t="n">
        <v>46184.9843287037</v>
      </c>
      <c r="I16" s="14" t="inlineStr">
        <is>
          <t>white_check_mark</t>
        </is>
      </c>
      <c r="J16" s="14" t="inlineStr">
        <is>
          <t>✅</t>
        </is>
      </c>
      <c r="K16" s="14" t="inlineStr">
        <is>
          <t>@dreimers</t>
        </is>
      </c>
      <c r="L16" s="14" t="inlineStr">
        <is>
          <t>@dreimers</t>
        </is>
      </c>
      <c r="M16" s="15" t="n">
        <v>46185.48872685185</v>
      </c>
      <c r="N16" s="14" t="inlineStr">
        <is>
          <t>0 days 12 hrs</t>
        </is>
      </c>
    </row>
    <row r="17">
      <c r="A17" s="14" t="inlineStr">
        <is>
          <t>https://qualtrics.slack.com/archives/C02KP7NE6FP/p1781288921850609</t>
        </is>
      </c>
      <c r="B17" s="14" t="inlineStr">
        <is>
          <t>INV00020633</t>
        </is>
      </c>
      <c r="C17" s="14" t="n">
        <v>557399.09</v>
      </c>
      <c r="D17" s="14" t="inlineStr">
        <is>
          <t>Ariba</t>
        </is>
      </c>
      <c r="E17" s="14" t="n">
        <v>4500318350</v>
      </c>
      <c r="F17" s="14" t="inlineStr">
        <is>
          <t>Hi Diego, could you please help me uploading this invoice. Thanks!</t>
        </is>
      </c>
      <c r="G17" s="14" t="inlineStr">
        <is>
          <t>Daniela Gomez Viscaino</t>
        </is>
      </c>
      <c r="H17" s="15" t="n">
        <v>46185.51924768519</v>
      </c>
      <c r="I17" s="14" t="inlineStr">
        <is>
          <t>white_check_mark</t>
        </is>
      </c>
      <c r="J17" s="14" t="inlineStr">
        <is>
          <t>✅</t>
        </is>
      </c>
      <c r="K17" s="14" t="inlineStr">
        <is>
          <t>@dreimers</t>
        </is>
      </c>
      <c r="L17" s="14" t="inlineStr">
        <is>
          <t>@dreimers</t>
        </is>
      </c>
      <c r="M17" s="15" t="n">
        <v>46197.5468287037</v>
      </c>
      <c r="N17" s="14" t="inlineStr">
        <is>
          <t>12 days 0 hrs</t>
        </is>
      </c>
    </row>
    <row r="18">
      <c r="A18" s="14" t="inlineStr">
        <is>
          <t>https://qualtrics.slack.com/archives/C02KP7NE6FP/p1781514317663729</t>
        </is>
      </c>
      <c r="B18" s="14" t="inlineStr">
        <is>
          <t>#464499</t>
        </is>
      </c>
      <c r="C18" s="14" t="inlineStr">
        <is>
          <t>SGD $35,625.00</t>
        </is>
      </c>
      <c r="D18" s="14" t="inlineStr">
        <is>
          <t>Ariba</t>
        </is>
      </c>
      <c r="E18" s="14" t="inlineStr">
        <is>
          <t>n.a.</t>
        </is>
      </c>
      <c r="F18" s="14" t="inlineStr">
        <is>
          <t>The invoice uploaded in Ariba was incorrect. Could you please upload the attached invoice. Please attention to liyi_cheong@sats.com.sg as verifier.</t>
        </is>
      </c>
      <c r="G18" s="14" t="inlineStr">
        <is>
          <t>Emma Günther</t>
        </is>
      </c>
      <c r="H18" s="15" t="n">
        <v>46188.12621527778</v>
      </c>
      <c r="I18" s="14" t="inlineStr">
        <is>
          <t>white_check_mark</t>
        </is>
      </c>
      <c r="J18" s="14" t="inlineStr">
        <is>
          <t>✅</t>
        </is>
      </c>
      <c r="K18" s="14" t="inlineStr">
        <is>
          <t>@alejandram</t>
        </is>
      </c>
      <c r="L18" s="14" t="inlineStr">
        <is>
          <t>@dreimers</t>
        </is>
      </c>
      <c r="M18" s="15" t="n">
        <v>46192.57513888889</v>
      </c>
      <c r="N18" s="14" t="inlineStr">
        <is>
          <t>4 days 10 hrs</t>
        </is>
      </c>
    </row>
    <row r="19">
      <c r="A19" s="14" t="inlineStr">
        <is>
          <t>https://qualtrics.slack.com/archives/C02KP7NE6FP/p1781540763692849</t>
        </is>
      </c>
      <c r="B19" s="14" t="inlineStr">
        <is>
          <t>INV00020140</t>
        </is>
      </c>
      <c r="C19" s="14" t="n">
        <v>1099.74</v>
      </c>
      <c r="D19" s="14" t="inlineStr">
        <is>
          <t>PEPPOL</t>
        </is>
      </c>
      <c r="E19" s="14" t="n">
        <v>26035603</v>
      </c>
      <c r="F19" s="14" t="n"/>
      <c r="G19" s="14" t="inlineStr">
        <is>
          <t>Fabrizio Rico del Mazo</t>
        </is>
      </c>
      <c r="H19" s="15" t="n">
        <v>46188.43354166667</v>
      </c>
      <c r="I19" s="14" t="inlineStr">
        <is>
          <t>white_check_mark</t>
        </is>
      </c>
      <c r="J19" s="14" t="inlineStr">
        <is>
          <t>✅</t>
        </is>
      </c>
      <c r="K19" s="14" t="inlineStr">
        <is>
          <t>@dreimers</t>
        </is>
      </c>
      <c r="L19" s="14" t="inlineStr">
        <is>
          <t>@dreimers</t>
        </is>
      </c>
      <c r="M19" s="15" t="n">
        <v>46197.55075231481</v>
      </c>
      <c r="N19" s="14" t="inlineStr">
        <is>
          <t>9 days 2 hrs</t>
        </is>
      </c>
    </row>
    <row r="20">
      <c r="A20" s="14" t="inlineStr">
        <is>
          <t>https://qualtrics.slack.com/archives/C02KP7NE6FP/p1781559825463709</t>
        </is>
      </c>
      <c r="B20" s="14" t="inlineStr">
        <is>
          <t>INV00020695</t>
        </is>
      </c>
      <c r="C20" s="14" t="inlineStr">
        <is>
          <t>INV00020695</t>
        </is>
      </c>
      <c r="D20" s="14" t="inlineStr">
        <is>
          <t>Ariba</t>
        </is>
      </c>
      <c r="E20" s="14" t="n">
        <v>4100813377</v>
      </c>
      <c r="F20" s="14" t="n"/>
      <c r="G20" s="14" t="inlineStr">
        <is>
          <t>Daniela Gomez Viscaino</t>
        </is>
      </c>
      <c r="H20" s="15" t="n">
        <v>46188.65450231481</v>
      </c>
      <c r="I20" s="14" t="inlineStr">
        <is>
          <t>white_check_mark</t>
        </is>
      </c>
      <c r="J20" s="14" t="inlineStr">
        <is>
          <t>✅</t>
        </is>
      </c>
      <c r="K20" s="14" t="inlineStr">
        <is>
          <t>@aprilj</t>
        </is>
      </c>
      <c r="L20" s="14" t="inlineStr">
        <is>
          <t>@aprilj</t>
        </is>
      </c>
      <c r="M20" s="15" t="n">
        <v>46189.31497685185</v>
      </c>
      <c r="N20" s="14" t="inlineStr">
        <is>
          <t>0 days 15 hrs</t>
        </is>
      </c>
    </row>
    <row r="21">
      <c r="A21" s="14" t="inlineStr">
        <is>
          <t>https://qualtrics.slack.com/archives/C02KP7NE6FP/p1781560246081169</t>
        </is>
      </c>
      <c r="B21" s="14" t="inlineStr">
        <is>
          <t>INV00020722</t>
        </is>
      </c>
      <c r="C21" s="14" t="n">
        <v>10500</v>
      </c>
      <c r="D21" s="14" t="inlineStr">
        <is>
          <t>Ariba</t>
        </is>
      </c>
      <c r="E21" s="14" t="n">
        <v>4100811071</v>
      </c>
      <c r="F21" s="14" t="n"/>
      <c r="G21" s="14" t="inlineStr">
        <is>
          <t>Daniela Gomez Viscaino</t>
        </is>
      </c>
      <c r="H21" s="15" t="n">
        <v>46188.6594675926</v>
      </c>
      <c r="I21" s="14" t="inlineStr">
        <is>
          <t>white_check_mark</t>
        </is>
      </c>
      <c r="J21" s="14" t="inlineStr">
        <is>
          <t>✅</t>
        </is>
      </c>
      <c r="K21" s="14" t="inlineStr">
        <is>
          <t>@aprilj</t>
        </is>
      </c>
      <c r="L21" s="14" t="inlineStr">
        <is>
          <t>@aprilj</t>
        </is>
      </c>
      <c r="M21" s="15" t="n">
        <v>46189.31778935185</v>
      </c>
      <c r="N21" s="14" t="inlineStr">
        <is>
          <t>0 days 15 hrs</t>
        </is>
      </c>
    </row>
    <row r="22">
      <c r="A22" s="14" t="inlineStr">
        <is>
          <t>https://qualtrics.slack.com/archives/C02KP7NE6FP/p1781561118124499</t>
        </is>
      </c>
      <c r="B22" s="14" t="inlineStr">
        <is>
          <t>INV00020373</t>
        </is>
      </c>
      <c r="C22" s="14" t="n">
        <v>209034</v>
      </c>
      <c r="D22" s="14" t="inlineStr">
        <is>
          <t>Coupa</t>
        </is>
      </c>
      <c r="E22" s="14" t="n">
        <v>374271</v>
      </c>
      <c r="F22" s="14" t="n"/>
      <c r="G22" s="14" t="inlineStr">
        <is>
          <t>Daniela Gomez Viscaino</t>
        </is>
      </c>
      <c r="H22" s="15" t="n">
        <v>46188.66981481481</v>
      </c>
      <c r="I22" s="14" t="inlineStr">
        <is>
          <t>white_check_mark</t>
        </is>
      </c>
      <c r="J22" s="14" t="inlineStr">
        <is>
          <t>✅</t>
        </is>
      </c>
      <c r="K22" s="14" t="inlineStr">
        <is>
          <t>@dreimers</t>
        </is>
      </c>
      <c r="L22" s="14" t="inlineStr">
        <is>
          <t>@aprilj</t>
        </is>
      </c>
      <c r="M22" s="15" t="n">
        <v>46189.33142361111</v>
      </c>
      <c r="N22" s="14" t="inlineStr">
        <is>
          <t>0 days 15 hrs</t>
        </is>
      </c>
    </row>
    <row r="23">
      <c r="A23" s="14" t="inlineStr">
        <is>
          <t>https://qualtrics.slack.com/archives/C02KP7NE6FP/p1781625323936489</t>
        </is>
      </c>
      <c r="B23" s="14" t="n">
        <v>470845</v>
      </c>
      <c r="C23" s="14" t="n">
        <v>28000</v>
      </c>
      <c r="D23" s="14" t="inlineStr">
        <is>
          <t>https://suppliers.qf.org.qa/</t>
        </is>
      </c>
      <c r="E23" s="14" t="inlineStr">
        <is>
          <t>QF-PO-46594-HOP</t>
        </is>
      </c>
      <c r="F23" s="14" t="inlineStr">
        <is>
          <t>You may now upload the related invoice electronically by using the QF I-Supplier Portal at https://suppliers.qf.org.qa/  In case of any issues during the submission process, kindly contact QF Procurement Relations procurementrelations@qf.org.qa to address your concern.</t>
        </is>
      </c>
      <c r="G23" s="14" t="inlineStr">
        <is>
          <t>Fabrizio Rico del Mazo</t>
        </is>
      </c>
      <c r="H23" s="15" t="n">
        <v>46189.41263888889</v>
      </c>
      <c r="I23" s="14" t="inlineStr">
        <is>
          <t>white_check_mark</t>
        </is>
      </c>
      <c r="J23" s="14" t="inlineStr">
        <is>
          <t>✅</t>
        </is>
      </c>
      <c r="K23" s="14" t="inlineStr">
        <is>
          <t>@dreimers</t>
        </is>
      </c>
      <c r="L23" s="14" t="inlineStr">
        <is>
          <t>@dreimers</t>
        </is>
      </c>
      <c r="M23" s="15" t="n">
        <v>46202.489375</v>
      </c>
      <c r="N23" s="14" t="inlineStr">
        <is>
          <t>13 days 1 hrs</t>
        </is>
      </c>
    </row>
    <row r="24">
      <c r="A24" s="14" t="inlineStr">
        <is>
          <t>https://qualtrics.slack.com/archives/C02KP7NE6FP/p1781634749343139</t>
        </is>
      </c>
      <c r="B24" s="14" t="inlineStr">
        <is>
          <t>INV00020793</t>
        </is>
      </c>
      <c r="C24" s="14" t="n">
        <v>31752</v>
      </c>
      <c r="D24" s="14" t="inlineStr">
        <is>
          <t>Microsoft</t>
        </is>
      </c>
      <c r="E24" s="14" t="n">
        <v>101669908</v>
      </c>
      <c r="F24" s="14" t="n"/>
      <c r="G24" s="14" t="inlineStr">
        <is>
          <t>Diego Cué Vázquez</t>
        </is>
      </c>
      <c r="H24" s="15" t="n">
        <v>46189.52178240741</v>
      </c>
      <c r="I24" s="14" t="inlineStr">
        <is>
          <t>white_check_mark</t>
        </is>
      </c>
      <c r="J24" s="14" t="inlineStr">
        <is>
          <t>✅</t>
        </is>
      </c>
      <c r="K24" s="14" t="inlineStr">
        <is>
          <t>@dreimers</t>
        </is>
      </c>
      <c r="L24" s="14" t="inlineStr">
        <is>
          <t>@dreimers</t>
        </is>
      </c>
      <c r="M24" s="15" t="n">
        <v>46190.38052083334</v>
      </c>
      <c r="N24" s="14" t="inlineStr">
        <is>
          <t>0 days 20 hrs</t>
        </is>
      </c>
    </row>
    <row r="25">
      <c r="A25" s="14" t="inlineStr">
        <is>
          <t>https://qualtrics.slack.com/archives/C02KP7NE6FP/p1781635224453029</t>
        </is>
      </c>
      <c r="B25" s="14" t="inlineStr">
        <is>
          <t>INV00020795</t>
        </is>
      </c>
      <c r="C25" s="14" t="n">
        <v>32760</v>
      </c>
      <c r="D25" s="14" t="inlineStr">
        <is>
          <t>Microsoft</t>
        </is>
      </c>
      <c r="E25" s="14" t="n">
        <v>101626136</v>
      </c>
      <c r="F25" s="14" t="n"/>
      <c r="G25" s="14" t="inlineStr">
        <is>
          <t>Diego Cué Vázquez</t>
        </is>
      </c>
      <c r="H25" s="15" t="n">
        <v>46189.5277662037</v>
      </c>
      <c r="I25" s="14" t="inlineStr">
        <is>
          <t>white_check_mark</t>
        </is>
      </c>
      <c r="J25" s="14" t="inlineStr">
        <is>
          <t>✅</t>
        </is>
      </c>
      <c r="K25" s="14" t="inlineStr">
        <is>
          <t>@dreimers</t>
        </is>
      </c>
      <c r="L25" s="14" t="inlineStr">
        <is>
          <t>@dreimers</t>
        </is>
      </c>
      <c r="M25" s="15" t="n">
        <v>46190.38048611111</v>
      </c>
      <c r="N25" s="14" t="inlineStr">
        <is>
          <t>0 days 20 hrs</t>
        </is>
      </c>
    </row>
    <row r="26">
      <c r="A26" s="14" t="inlineStr">
        <is>
          <t>https://qualtrics.slack.com/archives/C02KP7NE6FP/p1781725717115399</t>
        </is>
      </c>
      <c r="B26" s="14" t="inlineStr">
        <is>
          <t>INV00020920</t>
        </is>
      </c>
      <c r="C26" s="14" t="n">
        <v>200410</v>
      </c>
      <c r="D26" s="14" t="inlineStr">
        <is>
          <t>COUPA</t>
        </is>
      </c>
      <c r="E26" s="14" t="n">
        <v>4614038</v>
      </c>
      <c r="F26" s="14" t="n"/>
      <c r="G26" s="14" t="inlineStr">
        <is>
          <t>Andrea Juarez</t>
        </is>
      </c>
      <c r="H26" s="15" t="n">
        <v>46190.57498842593</v>
      </c>
      <c r="I26" s="14" t="inlineStr">
        <is>
          <t>white_check_mark</t>
        </is>
      </c>
      <c r="J26" s="14" t="inlineStr">
        <is>
          <t>✅</t>
        </is>
      </c>
      <c r="K26" s="14" t="inlineStr">
        <is>
          <t>@dreimers</t>
        </is>
      </c>
      <c r="L26" s="14" t="inlineStr">
        <is>
          <t>@dreimers</t>
        </is>
      </c>
      <c r="M26" s="15" t="n">
        <v>46190.58262731481</v>
      </c>
      <c r="N26" s="14" t="inlineStr">
        <is>
          <t>0 days 0 hrs</t>
        </is>
      </c>
    </row>
    <row r="27">
      <c r="A27" s="14" t="inlineStr">
        <is>
          <t>https://qualtrics.slack.com/archives/C02KP7NE6FP/p1781797607782699</t>
        </is>
      </c>
      <c r="B27" s="14" t="inlineStr">
        <is>
          <t>INV00020933</t>
        </is>
      </c>
      <c r="C27" s="14" t="n">
        <v>161256.8</v>
      </c>
      <c r="D27" s="14" t="inlineStr">
        <is>
          <t>ARIBA</t>
        </is>
      </c>
      <c r="E27" s="14" t="n">
        <v>4520248300</v>
      </c>
      <c r="F27" s="14" t="n"/>
      <c r="G27" s="14" t="inlineStr">
        <is>
          <t>Andrea Juarez</t>
        </is>
      </c>
      <c r="H27" s="15" t="n">
        <v>46191.40704861111</v>
      </c>
      <c r="I27" s="14" t="inlineStr">
        <is>
          <t>white_check_mark</t>
        </is>
      </c>
      <c r="J27" s="14" t="inlineStr">
        <is>
          <t>✅</t>
        </is>
      </c>
      <c r="K27" s="14" t="inlineStr">
        <is>
          <t>@dreimers</t>
        </is>
      </c>
      <c r="L27" s="14" t="inlineStr">
        <is>
          <t>@dreimers</t>
        </is>
      </c>
      <c r="M27" s="15" t="n">
        <v>46191.42747685185</v>
      </c>
      <c r="N27" s="14" t="inlineStr">
        <is>
          <t>0 days 0 hrs</t>
        </is>
      </c>
    </row>
    <row r="28">
      <c r="A28" s="14" t="inlineStr">
        <is>
          <t>https://qualtrics.slack.com/archives/C02KP7NE6FP/p1781804512723809</t>
        </is>
      </c>
      <c r="B28" s="14" t="n">
        <v>470501</v>
      </c>
      <c r="C28" s="14" t="n">
        <v>2080</v>
      </c>
      <c r="D28" s="14" t="inlineStr">
        <is>
          <t>transcepta</t>
        </is>
      </c>
      <c r="E28" s="14" t="inlineStr">
        <is>
          <t>BB02012207</t>
        </is>
      </c>
      <c r="F28" s="14" t="n"/>
      <c r="G28" s="14" t="inlineStr">
        <is>
          <t>Erika Sorrell</t>
        </is>
      </c>
      <c r="H28" s="15" t="n">
        <v>46191.48587962963</v>
      </c>
      <c r="I28" s="14" t="inlineStr">
        <is>
          <t>white_check_mark</t>
        </is>
      </c>
      <c r="J28" s="14" t="inlineStr">
        <is>
          <t>✅</t>
        </is>
      </c>
      <c r="K28" s="14" t="inlineStr">
        <is>
          <t>@aprilj</t>
        </is>
      </c>
      <c r="L28" s="14" t="inlineStr">
        <is>
          <t>@aprilj</t>
        </is>
      </c>
      <c r="M28" s="15" t="n">
        <v>46191.56158564815</v>
      </c>
      <c r="N28" s="14" t="inlineStr">
        <is>
          <t>0 days 1 hrs</t>
        </is>
      </c>
    </row>
    <row r="29">
      <c r="A29" s="14" t="inlineStr">
        <is>
          <t>https://qualtrics.slack.com/archives/C02KP7NE6FP/p1781808178507259</t>
        </is>
      </c>
      <c r="B29" s="14" t="inlineStr">
        <is>
          <t>INV00020607</t>
        </is>
      </c>
      <c r="C29" s="14" t="n">
        <v>48998</v>
      </c>
      <c r="D29" s="14" t="inlineStr">
        <is>
          <t>coupa</t>
        </is>
      </c>
      <c r="E29" s="14" t="n">
        <v>373752</v>
      </c>
      <c r="F29" s="14" t="n"/>
      <c r="G29" s="14" t="inlineStr">
        <is>
          <t>Alejandro Salazar Copado</t>
        </is>
      </c>
      <c r="H29" s="15" t="n">
        <v>46191.52921296296</v>
      </c>
      <c r="I29" s="14" t="inlineStr">
        <is>
          <t>white_check_mark</t>
        </is>
      </c>
      <c r="J29" s="14" t="inlineStr">
        <is>
          <t>✅</t>
        </is>
      </c>
      <c r="K29" s="14" t="inlineStr">
        <is>
          <t>@dreimers</t>
        </is>
      </c>
      <c r="L29" s="14" t="inlineStr">
        <is>
          <t>@dreimers</t>
        </is>
      </c>
      <c r="M29" s="15" t="n">
        <v>46191.55452546296</v>
      </c>
      <c r="N29" s="14" t="inlineStr">
        <is>
          <t>0 days 0 hrs</t>
        </is>
      </c>
    </row>
    <row r="30">
      <c r="A30" s="14" t="inlineStr">
        <is>
          <t>https://qualtrics.slack.com/archives/C02KP7NE6FP/p1781811873820999</t>
        </is>
      </c>
      <c r="B30" s="14" t="inlineStr">
        <is>
          <t>INV00021001</t>
        </is>
      </c>
      <c r="C30" s="14" t="n">
        <v>27630</v>
      </c>
      <c r="D30" s="14" t="inlineStr">
        <is>
          <t>Suppplier connect</t>
        </is>
      </c>
      <c r="E30" s="14" t="n">
        <v>70001688499</v>
      </c>
      <c r="F30" s="14" t="n"/>
      <c r="G30" s="14" t="inlineStr">
        <is>
          <t>Diego Cué Vázquez</t>
        </is>
      </c>
      <c r="H30" s="15" t="n">
        <v>46191.57199074074</v>
      </c>
      <c r="I30" s="14" t="inlineStr">
        <is>
          <t>white_check_mark</t>
        </is>
      </c>
      <c r="J30" s="14" t="inlineStr">
        <is>
          <t>✅</t>
        </is>
      </c>
      <c r="K30" s="14" t="inlineStr">
        <is>
          <t>@dreimers</t>
        </is>
      </c>
      <c r="L30" s="14" t="inlineStr">
        <is>
          <t>@dreimers</t>
        </is>
      </c>
      <c r="M30" s="15" t="n">
        <v>46191.60738425926</v>
      </c>
      <c r="N30" s="14" t="inlineStr">
        <is>
          <t>0 days 0 hrs</t>
        </is>
      </c>
    </row>
    <row r="31">
      <c r="A31" s="14" t="inlineStr">
        <is>
          <t>https://qualtrics.slack.com/archives/C02KP7NE6FP/p1781887412035269</t>
        </is>
      </c>
      <c r="B31" s="14" t="inlineStr">
        <is>
          <t>INV00020899</t>
        </is>
      </c>
      <c r="C31" s="14" t="inlineStr">
        <is>
          <t>1,768,194.49 USD</t>
        </is>
      </c>
      <c r="D31" s="14" t="inlineStr">
        <is>
          <t>Ariba</t>
        </is>
      </c>
      <c r="E31" s="14" t="inlineStr">
        <is>
          <t>PO3000364445</t>
        </is>
      </c>
      <c r="F31" s="14" t="inlineStr">
        <is>
          <t>Hi team, can you help me with this upload? thanks</t>
        </is>
      </c>
      <c r="G31" s="14" t="inlineStr">
        <is>
          <t>Daniela Gomez Viscaino</t>
        </is>
      </c>
      <c r="H31" s="15" t="n">
        <v>46192.44603009259</v>
      </c>
      <c r="I31" s="14" t="inlineStr">
        <is>
          <t>white_check_mark</t>
        </is>
      </c>
      <c r="J31" s="14" t="inlineStr">
        <is>
          <t>✅</t>
        </is>
      </c>
      <c r="K31" s="14" t="inlineStr">
        <is>
          <t>@dreimers</t>
        </is>
      </c>
      <c r="L31" s="14" t="inlineStr">
        <is>
          <t>@dreimers</t>
        </is>
      </c>
      <c r="M31" s="15" t="n">
        <v>46197.55138888889</v>
      </c>
      <c r="N31" s="14" t="inlineStr">
        <is>
          <t>5 days 2 hrs</t>
        </is>
      </c>
    </row>
    <row r="32">
      <c r="A32" s="14" t="inlineStr">
        <is>
          <t>https://qualtrics.slack.com/archives/C02KP7NE6FP/p1781890631636629</t>
        </is>
      </c>
      <c r="B32" s="14" t="inlineStr">
        <is>
          <t>INV00020931</t>
        </is>
      </c>
      <c r="C32" s="14" t="n">
        <v>63000</v>
      </c>
      <c r="D32" s="14" t="inlineStr">
        <is>
          <t>Coupa</t>
        </is>
      </c>
      <c r="E32" s="14" t="n">
        <v>7202278873</v>
      </c>
      <c r="F32" s="14" t="n"/>
      <c r="G32" s="14" t="inlineStr">
        <is>
          <t>Andrea Juarez</t>
        </is>
      </c>
      <c r="H32" s="15" t="n">
        <v>46192.48368055555</v>
      </c>
      <c r="I32" s="14" t="inlineStr">
        <is>
          <t>white_check_mark</t>
        </is>
      </c>
      <c r="J32" s="14" t="inlineStr">
        <is>
          <t>✅</t>
        </is>
      </c>
      <c r="K32" s="14" t="inlineStr">
        <is>
          <t>@dreimers</t>
        </is>
      </c>
      <c r="L32" s="14" t="inlineStr">
        <is>
          <t>@dreimers</t>
        </is>
      </c>
      <c r="M32" s="15" t="n">
        <v>46192.5315162037</v>
      </c>
      <c r="N32" s="14" t="inlineStr">
        <is>
          <t>0 days 1 hrs</t>
        </is>
      </c>
    </row>
    <row r="33">
      <c r="A33" s="14" t="inlineStr">
        <is>
          <t>https://qualtrics.slack.com/archives/C02KP7NE6FP/p1781903380133369</t>
        </is>
      </c>
      <c r="B33" s="14" t="inlineStr">
        <is>
          <t>INV00020933</t>
        </is>
      </c>
      <c r="C33" s="14" t="n">
        <v>161256.8</v>
      </c>
      <c r="D33" s="14" t="inlineStr">
        <is>
          <t>Ariba</t>
        </is>
      </c>
      <c r="E33" s="14" t="n">
        <v>4520248300</v>
      </c>
      <c r="F33" s="14" t="inlineStr">
        <is>
          <t>Hi Diego, could you help me with this request please</t>
        </is>
      </c>
      <c r="G33" s="14" t="inlineStr">
        <is>
          <t>Daniela Gomez Viscaino</t>
        </is>
      </c>
      <c r="H33" s="15" t="n">
        <v>46192.63074074074</v>
      </c>
      <c r="I33" s="14" t="inlineStr">
        <is>
          <t>white_check_mark</t>
        </is>
      </c>
      <c r="J33" s="14" t="inlineStr">
        <is>
          <t>✅</t>
        </is>
      </c>
      <c r="K33" s="14" t="inlineStr">
        <is>
          <t>@dreimers</t>
        </is>
      </c>
      <c r="L33" s="14" t="inlineStr">
        <is>
          <t>@dreimers</t>
        </is>
      </c>
      <c r="M33" s="15" t="n">
        <v>46195.41001157407</v>
      </c>
      <c r="N33" s="14" t="inlineStr">
        <is>
          <t>2 days 18 hrs</t>
        </is>
      </c>
    </row>
    <row r="34">
      <c r="A34" s="14" t="inlineStr">
        <is>
          <t>https://qualtrics.slack.com/archives/C02KP7NE6FP/p1781904191133049</t>
        </is>
      </c>
      <c r="B34" s="14" t="inlineStr">
        <is>
          <t>INV00020931</t>
        </is>
      </c>
      <c r="C34" s="14" t="n">
        <v>63000</v>
      </c>
      <c r="D34" s="14" t="inlineStr">
        <is>
          <t>Coupa</t>
        </is>
      </c>
      <c r="E34" s="14" t="n">
        <v>7202278873</v>
      </c>
      <c r="F34" s="14" t="n"/>
      <c r="G34" s="14" t="inlineStr">
        <is>
          <t>Daniela Gomez Viscaino</t>
        </is>
      </c>
      <c r="H34" s="15" t="n">
        <v>46192.64016203704</v>
      </c>
      <c r="I34" s="14" t="inlineStr">
        <is>
          <t>white_check_mark</t>
        </is>
      </c>
      <c r="J34" s="14" t="inlineStr">
        <is>
          <t>✅</t>
        </is>
      </c>
      <c r="K34" s="14" t="inlineStr">
        <is>
          <t>@dreimers</t>
        </is>
      </c>
      <c r="L34" s="14" t="inlineStr">
        <is>
          <t>@dreimers</t>
        </is>
      </c>
      <c r="M34" s="15" t="n">
        <v>46195.42172453704</v>
      </c>
      <c r="N34" s="14" t="inlineStr">
        <is>
          <t>2 days 18 hrs</t>
        </is>
      </c>
    </row>
    <row r="35">
      <c r="A35" s="14" t="inlineStr">
        <is>
          <t>https://qualtrics.slack.com/archives/C02KP7NE6FP/p1781904352478749</t>
        </is>
      </c>
      <c r="B35" s="14" t="inlineStr">
        <is>
          <t>INV00020793</t>
        </is>
      </c>
      <c r="C35" s="14" t="n">
        <v>31752</v>
      </c>
      <c r="D35" s="14" t="inlineStr">
        <is>
          <t>Microsoft</t>
        </is>
      </c>
      <c r="E35" s="14" t="n">
        <v>101669908</v>
      </c>
      <c r="F35" s="14" t="n"/>
      <c r="G35" s="14" t="inlineStr">
        <is>
          <t>Daniela Gomez Viscaino</t>
        </is>
      </c>
      <c r="H35" s="15" t="n">
        <v>46192.64247685186</v>
      </c>
      <c r="I35" s="14" t="inlineStr">
        <is>
          <t>white_check_mark</t>
        </is>
      </c>
      <c r="J35" s="14" t="inlineStr">
        <is>
          <t>✅</t>
        </is>
      </c>
      <c r="K35" s="14" t="inlineStr">
        <is>
          <t>@dreimers</t>
        </is>
      </c>
      <c r="L35" s="14" t="inlineStr">
        <is>
          <t>@dreimers</t>
        </is>
      </c>
      <c r="M35" s="15" t="n">
        <v>46195.44331018518</v>
      </c>
      <c r="N35" s="14" t="inlineStr">
        <is>
          <t>2 days 19 hrs</t>
        </is>
      </c>
    </row>
    <row r="36">
      <c r="A36" s="14" t="inlineStr">
        <is>
          <t>https://qualtrics.slack.com/archives/C02KP7NE6FP/p1781904683647979</t>
        </is>
      </c>
      <c r="B36" s="14" t="inlineStr">
        <is>
          <t>INV00020920</t>
        </is>
      </c>
      <c r="C36" s="14" t="n">
        <v>200410</v>
      </c>
      <c r="D36" s="14" t="inlineStr">
        <is>
          <t>Coupa</t>
        </is>
      </c>
      <c r="E36" s="14" t="n">
        <v>4614038</v>
      </c>
      <c r="F36" s="14" t="n"/>
      <c r="G36" s="14" t="inlineStr">
        <is>
          <t>Daniela Gomez Viscaino</t>
        </is>
      </c>
      <c r="H36" s="15" t="n">
        <v>46192.64638888889</v>
      </c>
      <c r="I36" s="14" t="inlineStr">
        <is>
          <t>white_check_mark</t>
        </is>
      </c>
      <c r="J36" s="14" t="inlineStr">
        <is>
          <t>✅</t>
        </is>
      </c>
      <c r="K36" s="14" t="inlineStr">
        <is>
          <t>@dreimers</t>
        </is>
      </c>
      <c r="L36" s="14" t="inlineStr">
        <is>
          <t>@dreimers</t>
        </is>
      </c>
      <c r="M36" s="15" t="n">
        <v>46195.42607638889</v>
      </c>
      <c r="N36" s="14" t="inlineStr">
        <is>
          <t>2 days 18 hrs</t>
        </is>
      </c>
    </row>
    <row r="37">
      <c r="A37" s="14" t="inlineStr">
        <is>
          <t>https://qualtrics.slack.com/archives/C02KP7NE6FP/p1781906633040689</t>
        </is>
      </c>
      <c r="B37" s="14" t="inlineStr">
        <is>
          <t>INV00020867</t>
        </is>
      </c>
      <c r="C37" s="14" t="n">
        <v>20000</v>
      </c>
      <c r="D37" s="14" t="inlineStr">
        <is>
          <t>Ariba</t>
        </is>
      </c>
      <c r="E37" s="14" t="n">
        <v>4100803422</v>
      </c>
      <c r="F37" s="14" t="n"/>
      <c r="G37" s="14" t="inlineStr">
        <is>
          <t>Daniela Gomez Viscaino</t>
        </is>
      </c>
      <c r="H37" s="15" t="n">
        <v>46192.6684375</v>
      </c>
      <c r="I37" s="14" t="inlineStr">
        <is>
          <t>white_check_mark</t>
        </is>
      </c>
      <c r="J37" s="14" t="inlineStr">
        <is>
          <t>✅</t>
        </is>
      </c>
      <c r="K37" s="14" t="inlineStr">
        <is>
          <t>@dreimers</t>
        </is>
      </c>
      <c r="L37" s="14" t="inlineStr">
        <is>
          <t>@dreimers</t>
        </is>
      </c>
      <c r="M37" s="15" t="n">
        <v>46195.43376157407</v>
      </c>
      <c r="N37" s="14" t="inlineStr">
        <is>
          <t>2 days 18 hrs</t>
        </is>
      </c>
    </row>
    <row r="38">
      <c r="A38" s="14" t="inlineStr">
        <is>
          <t>https://qualtrics.slack.com/archives/C02KP7NE6FP/p1782136417315069</t>
        </is>
      </c>
      <c r="B38" s="14" t="inlineStr">
        <is>
          <t>QILNEW2100</t>
        </is>
      </c>
      <c r="C38" s="14" t="n">
        <v>4815.72</v>
      </c>
      <c r="D38" s="14" t="inlineStr">
        <is>
          <t>Chorus Pro</t>
        </is>
      </c>
      <c r="E38" s="14" t="n">
        <v>1513730710</v>
      </c>
      <c r="F38" s="14" t="inlineStr">
        <is>
          <t>Hi, the client accidentally deleted the request of upload, could we please reuload the invoice (PO attached)</t>
        </is>
      </c>
      <c r="G38" s="14" t="inlineStr">
        <is>
          <t>Yulian Trishch</t>
        </is>
      </c>
      <c r="H38" s="15" t="n">
        <v>46195.32594907407</v>
      </c>
      <c r="I38" s="14" t="inlineStr">
        <is>
          <t>white_check_mark</t>
        </is>
      </c>
      <c r="J38" s="14" t="inlineStr">
        <is>
          <t>✅</t>
        </is>
      </c>
      <c r="K38" s="14" t="inlineStr">
        <is>
          <t>@dreimers</t>
        </is>
      </c>
      <c r="L38" s="14" t="inlineStr">
        <is>
          <t>@dreimers</t>
        </is>
      </c>
      <c r="M38" s="15" t="n">
        <v>46195.4491087963</v>
      </c>
      <c r="N38" s="14" t="inlineStr">
        <is>
          <t>0 days 2 hrs</t>
        </is>
      </c>
    </row>
    <row r="39">
      <c r="A39" s="14" t="inlineStr">
        <is>
          <t>https://qualtrics.slack.com/archives/C02KP7NE6FP/p1782240292382289</t>
        </is>
      </c>
      <c r="B39" s="14" t="inlineStr">
        <is>
          <t>INV00020373</t>
        </is>
      </c>
      <c r="C39" s="14" t="inlineStr">
        <is>
          <t>JPY 209,034</t>
        </is>
      </c>
      <c r="D39" s="14" t="inlineStr">
        <is>
          <t>Coupa</t>
        </is>
      </c>
      <c r="E39" s="14" t="n">
        <v>376864</v>
      </c>
      <c r="F39" s="14" t="inlineStr">
        <is>
          <t>Please find attached the manually updated invoice with the new PO number requested by the customer. Per Daiki's instructions, please re-upload it to Coupa. Thank you.</t>
        </is>
      </c>
      <c r="G39" s="14" t="inlineStr">
        <is>
          <t>Alejandro Salazar Copado</t>
        </is>
      </c>
      <c r="H39" s="15" t="n">
        <v>46196.52930555555</v>
      </c>
      <c r="I39" s="14" t="inlineStr">
        <is>
          <t>white_check_mark</t>
        </is>
      </c>
      <c r="J39" s="14" t="inlineStr">
        <is>
          <t>✅</t>
        </is>
      </c>
      <c r="K39" s="14" t="inlineStr">
        <is>
          <t>@dreimers</t>
        </is>
      </c>
      <c r="L39" s="14" t="inlineStr">
        <is>
          <t>@dreimers</t>
        </is>
      </c>
      <c r="M39" s="15" t="n">
        <v>46196.54356481481</v>
      </c>
      <c r="N39" s="14" t="inlineStr">
        <is>
          <t>0 days 0 hrs</t>
        </is>
      </c>
    </row>
    <row r="40">
      <c r="A40" s="14" t="inlineStr">
        <is>
          <t>https://qualtrics.slack.com/archives/C02KP7NE6FP/p1782245205033039</t>
        </is>
      </c>
      <c r="B40" s="14" t="inlineStr">
        <is>
          <t>INV00021485</t>
        </is>
      </c>
      <c r="C40" s="14" t="n">
        <v>16575</v>
      </c>
      <c r="D40" s="14" t="inlineStr">
        <is>
          <t>Ariba</t>
        </is>
      </c>
      <c r="E40" s="14" t="inlineStr">
        <is>
          <t>PO2339695</t>
        </is>
      </c>
      <c r="F40" s="14" t="n"/>
      <c r="G40" s="14" t="inlineStr">
        <is>
          <t>Daniela Gomez Viscaino</t>
        </is>
      </c>
      <c r="H40" s="15" t="n">
        <v>46196.58629629629</v>
      </c>
      <c r="I40" s="14" t="inlineStr">
        <is>
          <t>white_check_mark</t>
        </is>
      </c>
      <c r="J40" s="14" t="inlineStr">
        <is>
          <t>✅</t>
        </is>
      </c>
      <c r="K40" s="14" t="inlineStr">
        <is>
          <t>@dreimers</t>
        </is>
      </c>
      <c r="L40" s="14" t="inlineStr">
        <is>
          <t>@dreimers</t>
        </is>
      </c>
      <c r="M40" s="15" t="n">
        <v>46220.59077546297</v>
      </c>
      <c r="N40" s="14" t="inlineStr">
        <is>
          <t>24 days 0 hrs</t>
        </is>
      </c>
    </row>
    <row r="41">
      <c r="A41" s="14" t="inlineStr">
        <is>
          <t>https://qualtrics.slack.com/archives/C02KP7NE6FP/p1782245276523869</t>
        </is>
      </c>
      <c r="B41" s="14" t="inlineStr">
        <is>
          <t>INV00021506</t>
        </is>
      </c>
      <c r="C41" s="14" t="n">
        <v>8287.5</v>
      </c>
      <c r="D41" s="14" t="inlineStr">
        <is>
          <t>Ariba</t>
        </is>
      </c>
      <c r="E41" s="14" t="inlineStr">
        <is>
          <t>PO2339695</t>
        </is>
      </c>
      <c r="F41" s="14" t="n"/>
      <c r="G41" s="14" t="inlineStr">
        <is>
          <t>Daniela Gomez Viscaino</t>
        </is>
      </c>
      <c r="H41" s="15" t="n">
        <v>46196.58836805556</v>
      </c>
      <c r="I41" s="14" t="inlineStr">
        <is>
          <t>white_check_mark</t>
        </is>
      </c>
      <c r="J41" s="14" t="inlineStr">
        <is>
          <t>✅</t>
        </is>
      </c>
      <c r="K41" s="14" t="inlineStr">
        <is>
          <t>@dreimers</t>
        </is>
      </c>
      <c r="L41" s="14" t="inlineStr">
        <is>
          <t>@dreimers</t>
        </is>
      </c>
      <c r="M41" s="15" t="n">
        <v>46197.45547453704</v>
      </c>
      <c r="N41" s="14" t="inlineStr">
        <is>
          <t>0 days 20 hrs</t>
        </is>
      </c>
    </row>
    <row r="42">
      <c r="A42" s="14" t="inlineStr">
        <is>
          <t>https://qualtrics.slack.com/archives/C02KP7NE6FP/p1782247415846169</t>
        </is>
      </c>
      <c r="B42" s="14" t="inlineStr">
        <is>
          <t>INV00020795</t>
        </is>
      </c>
      <c r="C42" s="14" t="n">
        <v>32760</v>
      </c>
      <c r="D42" s="14" t="inlineStr">
        <is>
          <t>Microsoft</t>
        </is>
      </c>
      <c r="E42" s="14" t="n">
        <v>101626136</v>
      </c>
      <c r="F42" s="14" t="inlineStr">
        <is>
          <t>Hi team, could you please help me with this upload? Thanks</t>
        </is>
      </c>
      <c r="G42" s="14" t="inlineStr">
        <is>
          <t>Daniela Gomez Viscaino</t>
        </is>
      </c>
      <c r="H42" s="15" t="n">
        <v>46196.61299768519</v>
      </c>
      <c r="I42" s="14" t="inlineStr">
        <is>
          <t>white_check_mark</t>
        </is>
      </c>
      <c r="J42" s="14" t="inlineStr">
        <is>
          <t>✅</t>
        </is>
      </c>
      <c r="K42" s="14" t="inlineStr">
        <is>
          <t>@dreimers</t>
        </is>
      </c>
      <c r="L42" s="14" t="inlineStr">
        <is>
          <t>@dreimers</t>
        </is>
      </c>
      <c r="M42" s="15" t="n">
        <v>46197.46196759259</v>
      </c>
      <c r="N42" s="14" t="inlineStr">
        <is>
          <t>0 days 20 hrs</t>
        </is>
      </c>
    </row>
    <row r="43">
      <c r="A43" s="14" t="inlineStr">
        <is>
          <t>https://qualtrics.slack.com/archives/C02KP7NE6FP/p1782247984010569</t>
        </is>
      </c>
      <c r="B43" s="14" t="inlineStr">
        <is>
          <t>INV00021546</t>
        </is>
      </c>
      <c r="C43" s="14" t="n">
        <v>46200</v>
      </c>
      <c r="D43" s="14" t="inlineStr">
        <is>
          <t>Coupa</t>
        </is>
      </c>
      <c r="E43" s="14" t="n">
        <v>1000411093</v>
      </c>
      <c r="F43" s="14" t="n"/>
      <c r="G43" s="14" t="inlineStr">
        <is>
          <t>Daniela Gomez Viscaino</t>
        </is>
      </c>
      <c r="H43" s="15" t="n">
        <v>46196.61972222223</v>
      </c>
      <c r="I43" s="14" t="inlineStr">
        <is>
          <t>white_check_mark</t>
        </is>
      </c>
      <c r="J43" s="14" t="inlineStr">
        <is>
          <t>✅</t>
        </is>
      </c>
      <c r="K43" s="14" t="inlineStr">
        <is>
          <t>@dreimers</t>
        </is>
      </c>
      <c r="L43" s="14" t="inlineStr">
        <is>
          <t>@dreimers</t>
        </is>
      </c>
      <c r="M43" s="15" t="n">
        <v>46197.46125</v>
      </c>
      <c r="N43" s="14" t="inlineStr">
        <is>
          <t>0 days 20 hrs</t>
        </is>
      </c>
    </row>
    <row r="44">
      <c r="A44" s="14" t="inlineStr">
        <is>
          <t>https://qualtrics.slack.com/archives/C02KP7NE6FP/p1782248532343589</t>
        </is>
      </c>
      <c r="B44" s="14" t="inlineStr">
        <is>
          <t>INV00021437</t>
        </is>
      </c>
      <c r="C44" s="14" t="n">
        <v>27630</v>
      </c>
      <c r="D44" s="14" t="inlineStr">
        <is>
          <t>Supplier Connect</t>
        </is>
      </c>
      <c r="E44" s="14" t="n">
        <v>70001688499</v>
      </c>
      <c r="F44" s="14" t="n"/>
      <c r="G44" s="14" t="inlineStr">
        <is>
          <t>Daniela Gomez Viscaino</t>
        </is>
      </c>
      <c r="H44" s="15" t="n">
        <v>46196.6259375</v>
      </c>
      <c r="I44" s="14" t="inlineStr">
        <is>
          <t>white_check_mark</t>
        </is>
      </c>
      <c r="J44" s="14" t="inlineStr">
        <is>
          <t>✅</t>
        </is>
      </c>
      <c r="K44" s="14" t="inlineStr">
        <is>
          <t>@dreimers</t>
        </is>
      </c>
      <c r="L44" s="14" t="inlineStr">
        <is>
          <t>@dreimers</t>
        </is>
      </c>
      <c r="M44" s="15" t="n">
        <v>46197.47481481481</v>
      </c>
      <c r="N44" s="14" t="inlineStr">
        <is>
          <t>0 days 20 hrs</t>
        </is>
      </c>
    </row>
    <row r="45">
      <c r="A45" s="14" t="inlineStr">
        <is>
          <t>https://qualtrics.slack.com/archives/C02KP7NE6FP/p1782405536016509</t>
        </is>
      </c>
      <c r="B45" s="14" t="inlineStr">
        <is>
          <t>#Q-333765</t>
        </is>
      </c>
      <c r="C45" s="14" t="n">
        <v>13230</v>
      </c>
      <c r="D45" s="14" t="inlineStr">
        <is>
          <t>Oracle Cloud: https://idcs-50547f153a4d499aa070617fc8660e66.identity.oraclecloud.com/ui/v1/signin</t>
        </is>
      </c>
      <c r="E45" s="14" t="n"/>
      <c r="F45" s="14" t="inlineStr">
        <is>
          <t>Hi team, the client has requested that we upload the quote (attached) to the platform, is this something you can assist with? ODO ticket for reference:  https://odo.corp.qualtrics.com/?TopNav=Tickets&amp;a=Tickets&amp;b=TicketViewer&amp;tid=ZZ_8A6570E094164A57</t>
        </is>
      </c>
      <c r="G45" s="14" t="inlineStr">
        <is>
          <t>Andres Prieto</t>
        </is>
      </c>
      <c r="H45" s="15" t="n">
        <v>46198.44140046297</v>
      </c>
      <c r="I45" s="14" t="inlineStr">
        <is>
          <t>white_check_mark</t>
        </is>
      </c>
      <c r="J45" s="14" t="inlineStr">
        <is>
          <t>✅</t>
        </is>
      </c>
      <c r="K45" s="14" t="inlineStr">
        <is>
          <t>@dreimers</t>
        </is>
      </c>
      <c r="L45" s="14" t="inlineStr">
        <is>
          <t>@dreimers</t>
        </is>
      </c>
      <c r="M45" s="15" t="n">
        <v>46198.56770833334</v>
      </c>
      <c r="N45" s="14" t="inlineStr">
        <is>
          <t>0 days 3 hrs</t>
        </is>
      </c>
    </row>
    <row r="46">
      <c r="A46" s="14" t="inlineStr">
        <is>
          <t>https://qualtrics.slack.com/archives/C02KP7NE6FP/p1782408468202609</t>
        </is>
      </c>
      <c r="B46" s="14" t="inlineStr">
        <is>
          <t>INV00021651</t>
        </is>
      </c>
      <c r="C46" s="14" t="n">
        <v>185445.16</v>
      </c>
      <c r="D46" s="14" t="inlineStr">
        <is>
          <t>Coupa</t>
        </is>
      </c>
      <c r="E46" s="14" t="n">
        <v>8006659809</v>
      </c>
      <c r="F46" s="14" t="inlineStr">
        <is>
          <t>Hi Diego, coould you please help me with this upload? Thanks</t>
        </is>
      </c>
      <c r="G46" s="14" t="inlineStr">
        <is>
          <t>Daniela Gomez Viscaino</t>
        </is>
      </c>
      <c r="H46" s="15" t="n">
        <v>46198.47637731482</v>
      </c>
      <c r="I46" s="14" t="inlineStr">
        <is>
          <t>white_check_mark</t>
        </is>
      </c>
      <c r="J46" s="14" t="inlineStr">
        <is>
          <t>✅</t>
        </is>
      </c>
      <c r="K46" s="14" t="inlineStr">
        <is>
          <t>@dreimers</t>
        </is>
      </c>
      <c r="L46" s="14" t="inlineStr">
        <is>
          <t>@dreimers</t>
        </is>
      </c>
      <c r="M46" s="15" t="n">
        <v>46198.59099537037</v>
      </c>
      <c r="N46" s="14" t="inlineStr">
        <is>
          <t>0 days 2 hrs</t>
        </is>
      </c>
    </row>
    <row r="47">
      <c r="A47" s="14" t="inlineStr">
        <is>
          <t>https://qualtrics.slack.com/archives/C02KP7NE6FP/p1782409635089989</t>
        </is>
      </c>
      <c r="B47" s="14" t="inlineStr">
        <is>
          <t>INV00021650</t>
        </is>
      </c>
      <c r="C47" s="14" t="inlineStr">
        <is>
          <t>42,028.13 USD</t>
        </is>
      </c>
      <c r="D47" s="14" t="inlineStr">
        <is>
          <t>Coupa</t>
        </is>
      </c>
      <c r="E47" s="14" t="n">
        <v>8006643124</v>
      </c>
      <c r="F47" s="14" t="inlineStr">
        <is>
          <t>Hi team, could you please help us sibmut this invoice?thank you!</t>
        </is>
      </c>
      <c r="G47" s="14" t="inlineStr">
        <is>
          <t>Maria de Lourdes López Núñez</t>
        </is>
      </c>
      <c r="H47" s="15" t="n">
        <v>46198.48991898148</v>
      </c>
      <c r="I47" s="14" t="inlineStr">
        <is>
          <t>white_check_mark</t>
        </is>
      </c>
      <c r="J47" s="14" t="inlineStr">
        <is>
          <t>✅</t>
        </is>
      </c>
      <c r="K47" s="14" t="inlineStr">
        <is>
          <t>@alejandram</t>
        </is>
      </c>
      <c r="L47" s="14" t="inlineStr">
        <is>
          <t>@dreimers</t>
        </is>
      </c>
      <c r="M47" s="15" t="n">
        <v>46198.5740625</v>
      </c>
      <c r="N47" s="14" t="inlineStr">
        <is>
          <t>0 days 2 hrs</t>
        </is>
      </c>
    </row>
    <row r="48">
      <c r="A48" s="14" t="inlineStr">
        <is>
          <t>https://qualtrics.slack.com/archives/C02KP7NE6FP/p1782467984873559</t>
        </is>
      </c>
      <c r="B48" s="14" t="n">
        <v>470840</v>
      </c>
      <c r="C48" s="14" t="inlineStr">
        <is>
          <t>EUR €5,000.00</t>
        </is>
      </c>
      <c r="D48" s="14" t="inlineStr">
        <is>
          <t>Chorus Pro (http://chorus-pro.gouv.fr)</t>
        </is>
      </c>
      <c r="E48" s="14" t="n">
        <v>4500474677</v>
      </c>
      <c r="F48" s="14" t="inlineStr">
        <is>
          <t>Hello Team, Please kindly upload the invoice on the above mentioned portal.</t>
        </is>
      </c>
      <c r="G48" s="14" t="inlineStr">
        <is>
          <t>Kaushal Hogade</t>
        </is>
      </c>
      <c r="H48" s="15" t="n">
        <v>46199.16337962963</v>
      </c>
      <c r="I48" s="14" t="inlineStr">
        <is>
          <t>white_check_mark</t>
        </is>
      </c>
      <c r="J48" s="14" t="inlineStr">
        <is>
          <t>✅</t>
        </is>
      </c>
      <c r="K48" s="14" t="inlineStr">
        <is>
          <t>@dreimers</t>
        </is>
      </c>
      <c r="L48" s="14" t="n"/>
      <c r="M48" s="15" t="n">
        <v>46199.47065972222</v>
      </c>
      <c r="N48" s="14" t="inlineStr">
        <is>
          <t>0 days 7 hrs</t>
        </is>
      </c>
    </row>
    <row r="49">
      <c r="A49" s="14" t="inlineStr">
        <is>
          <t>https://qualtrics.slack.com/archives/C02KP7NE6FP/p1782490445440069</t>
        </is>
      </c>
      <c r="B49" s="14" t="inlineStr">
        <is>
          <t>2D-21801766</t>
        </is>
      </c>
      <c r="C49" s="14" t="n">
        <v>45000</v>
      </c>
      <c r="D49" s="14" t="inlineStr">
        <is>
          <t>coupa</t>
        </is>
      </c>
      <c r="E49" s="14" t="inlineStr">
        <is>
          <t>2D-21801766</t>
        </is>
      </c>
      <c r="F49" s="14" t="inlineStr">
        <is>
          <t>HEllo team, Amazon sent the PO 2D-21801766 and I want to ensure that we map it appropietly, can you help us map it?</t>
        </is>
      </c>
      <c r="G49" s="14" t="inlineStr">
        <is>
          <t>Imanol Martinez</t>
        </is>
      </c>
      <c r="H49" s="15" t="n">
        <v>46199.42559027778</v>
      </c>
      <c r="I49" s="14" t="inlineStr">
        <is>
          <t>white_check_mark</t>
        </is>
      </c>
      <c r="J49" s="14" t="inlineStr">
        <is>
          <t>✅</t>
        </is>
      </c>
      <c r="K49" s="14" t="inlineStr">
        <is>
          <t>@alejandram</t>
        </is>
      </c>
      <c r="L49" s="14" t="inlineStr">
        <is>
          <t>@dreimers</t>
        </is>
      </c>
      <c r="M49" s="15" t="n">
        <v>46199.48798611111</v>
      </c>
      <c r="N49" s="14" t="inlineStr">
        <is>
          <t>0 days 1 hrs</t>
        </is>
      </c>
    </row>
    <row r="50">
      <c r="A50" s="14" t="inlineStr">
        <is>
          <t>https://qualtrics.slack.com/archives/C02KP7NE6FP/p1782708717318919</t>
        </is>
      </c>
      <c r="B50" s="14" t="inlineStr">
        <is>
          <t>INV00021939</t>
        </is>
      </c>
      <c r="C50" s="14" t="n">
        <v>63000</v>
      </c>
      <c r="D50" s="14" t="inlineStr">
        <is>
          <t>MSFT Portal</t>
        </is>
      </c>
      <c r="E50" s="14" t="n">
        <v>101633045</v>
      </c>
      <c r="F50" s="14" t="n"/>
      <c r="G50" s="14" t="inlineStr">
        <is>
          <t>Andrea Juarez</t>
        </is>
      </c>
      <c r="H50" s="15" t="n">
        <v>46201.95236111111</v>
      </c>
      <c r="I50" s="14" t="inlineStr">
        <is>
          <t>white_check_mark</t>
        </is>
      </c>
      <c r="J50" s="14" t="inlineStr">
        <is>
          <t>✅</t>
        </is>
      </c>
      <c r="K50" s="14" t="inlineStr">
        <is>
          <t>@dreimers</t>
        </is>
      </c>
      <c r="L50" s="14" t="inlineStr">
        <is>
          <t>@dreimers</t>
        </is>
      </c>
      <c r="M50" s="15" t="n">
        <v>46202.54658564815</v>
      </c>
      <c r="N50" s="14" t="inlineStr">
        <is>
          <t>0 days 14 hrs</t>
        </is>
      </c>
    </row>
    <row r="51">
      <c r="A51" s="14" t="inlineStr">
        <is>
          <t>https://qualtrics.slack.com/archives/C02KP7NE6FP/p1782751258450949</t>
        </is>
      </c>
      <c r="B51" s="14" t="n">
        <v>4500114905</v>
      </c>
      <c r="C51" s="14" t="inlineStr">
        <is>
          <t>4.091,04</t>
        </is>
      </c>
      <c r="D51" s="14" t="inlineStr">
        <is>
          <t>https://portail.chorus-pro.gouv.fr/aife_csm</t>
        </is>
      </c>
      <c r="E51" s="14" t="n">
        <v>4500114905</v>
      </c>
      <c r="F51" s="14" t="inlineStr">
        <is>
          <t>URGENT ! The client funds are expiring and they need to receive via chorus pro the invoice before the end of tomorrow. could you please support me? Please find here the opportunity on sfdc: https://qualtrics.lightning.force.com/lightning/r/Opportunity/006UJ00000pjaefYAA/view</t>
        </is>
      </c>
      <c r="G51" s="14" t="inlineStr">
        <is>
          <t>Eleonora Amarante</t>
        </is>
      </c>
      <c r="H51" s="15" t="n">
        <v>46202.43835648148</v>
      </c>
      <c r="I51" s="14" t="inlineStr">
        <is>
          <t>white_check_mark</t>
        </is>
      </c>
      <c r="J51" s="14" t="inlineStr">
        <is>
          <t>✅</t>
        </is>
      </c>
      <c r="K51" s="14" t="inlineStr">
        <is>
          <t>@dreimers</t>
        </is>
      </c>
      <c r="L51" s="14" t="inlineStr">
        <is>
          <t>@dreimers</t>
        </is>
      </c>
      <c r="M51" s="15" t="n">
        <v>46202.5175</v>
      </c>
      <c r="N51" s="14" t="inlineStr">
        <is>
          <t>0 days 1 hrs</t>
        </is>
      </c>
    </row>
    <row r="52">
      <c r="A52" s="14" t="inlineStr">
        <is>
          <t>https://qualtrics.slack.com/archives/C02KP7NE6FP/p1782757390879829</t>
        </is>
      </c>
      <c r="B52" s="14" t="n">
        <v>471109</v>
      </c>
      <c r="C52" s="14" t="n">
        <v>40825.37</v>
      </c>
      <c r="D52" s="14" t="inlineStr">
        <is>
          <t>Coupa</t>
        </is>
      </c>
      <c r="E52" s="14" t="n">
        <v>1000059569</v>
      </c>
      <c r="F52" s="14" t="n"/>
      <c r="G52" s="14" t="inlineStr">
        <is>
          <t>Fabrizio Rico del Mazo</t>
        </is>
      </c>
      <c r="H52" s="15" t="n">
        <v>46202.51523148148</v>
      </c>
      <c r="I52" s="14" t="inlineStr">
        <is>
          <t>white_check_mark</t>
        </is>
      </c>
      <c r="J52" s="14" t="inlineStr">
        <is>
          <t>✅</t>
        </is>
      </c>
      <c r="K52" s="14" t="inlineStr">
        <is>
          <t>@kburkett</t>
        </is>
      </c>
      <c r="L52" s="14" t="inlineStr">
        <is>
          <t>@kburkett</t>
        </is>
      </c>
      <c r="M52" s="15" t="n">
        <v>46202.62076388889</v>
      </c>
      <c r="N52" s="14" t="inlineStr">
        <is>
          <t>0 days 2 hrs</t>
        </is>
      </c>
    </row>
    <row r="53">
      <c r="A53" s="14" t="inlineStr">
        <is>
          <t>https://qualtrics.slack.com/archives/C02KP7NE6FP/p1782780784921059</t>
        </is>
      </c>
      <c r="B53" s="14" t="inlineStr">
        <is>
          <t>INV00021802</t>
        </is>
      </c>
      <c r="C53" s="14" t="n">
        <v>12499.86</v>
      </c>
      <c r="D53" s="14" t="inlineStr">
        <is>
          <t>Ariba</t>
        </is>
      </c>
      <c r="E53" s="14" t="inlineStr">
        <is>
          <t>PO3296526</t>
        </is>
      </c>
      <c r="F53" s="14" t="inlineStr">
        <is>
          <t>Hi Diego, could you please help me uploading this invoice? Thanks!</t>
        </is>
      </c>
      <c r="G53" s="14" t="inlineStr">
        <is>
          <t>Daniela Gomez Viscaino</t>
        </is>
      </c>
      <c r="H53" s="15" t="n">
        <v>46202.78636574074</v>
      </c>
      <c r="I53" s="14" t="inlineStr">
        <is>
          <t>white_check_mark</t>
        </is>
      </c>
      <c r="J53" s="14" t="inlineStr">
        <is>
          <t>✅</t>
        </is>
      </c>
      <c r="K53" s="14" t="inlineStr">
        <is>
          <t>@kburkett</t>
        </is>
      </c>
      <c r="L53" s="14" t="inlineStr">
        <is>
          <t>@kburkett</t>
        </is>
      </c>
      <c r="M53" s="15" t="n">
        <v>46202.93710648148</v>
      </c>
      <c r="N53" s="14" t="inlineStr">
        <is>
          <t>0 days 3 hrs</t>
        </is>
      </c>
    </row>
    <row r="54">
      <c r="A54" s="14" t="inlineStr">
        <is>
          <t>https://qualtrics.slack.com/archives/C02KP7NE6FP/p1782780921500509</t>
        </is>
      </c>
      <c r="B54" s="14" t="inlineStr">
        <is>
          <t>INV00021701</t>
        </is>
      </c>
      <c r="C54" s="14" t="n">
        <v>120625</v>
      </c>
      <c r="D54" s="14" t="inlineStr">
        <is>
          <t>Coupa</t>
        </is>
      </c>
      <c r="E54" s="14" t="inlineStr">
        <is>
          <t>#PHKL212543</t>
        </is>
      </c>
      <c r="F54" s="14" t="n"/>
      <c r="G54" s="14" t="inlineStr">
        <is>
          <t>Daniela Gomez Viscaino</t>
        </is>
      </c>
      <c r="H54" s="15" t="n">
        <v>46202.78819444445</v>
      </c>
      <c r="I54" s="14" t="inlineStr">
        <is>
          <t>white_check_mark</t>
        </is>
      </c>
      <c r="J54" s="14" t="inlineStr">
        <is>
          <t>✅</t>
        </is>
      </c>
      <c r="K54" s="14" t="inlineStr">
        <is>
          <t>@kburkett</t>
        </is>
      </c>
      <c r="L54" s="14" t="inlineStr">
        <is>
          <t>@kburkett</t>
        </is>
      </c>
      <c r="M54" s="15" t="n">
        <v>46202.91690972223</v>
      </c>
      <c r="N54" s="14" t="inlineStr">
        <is>
          <t>0 days 3 hrs</t>
        </is>
      </c>
    </row>
    <row r="55">
      <c r="A55" s="14" t="inlineStr">
        <is>
          <t>https://qualtrics.slack.com/archives/C02KP7NE6FP/p1782781161875839</t>
        </is>
      </c>
      <c r="B55" s="14" t="inlineStr">
        <is>
          <t>INV00021462</t>
        </is>
      </c>
      <c r="C55" s="14" t="n">
        <v>41862.5</v>
      </c>
      <c r="D55" s="14" t="inlineStr">
        <is>
          <t>Ariba</t>
        </is>
      </c>
      <c r="E55" s="14" t="n">
        <v>4100799459</v>
      </c>
      <c r="F55" s="14" t="n"/>
      <c r="G55" s="14" t="inlineStr">
        <is>
          <t>Daniela Gomez Viscaino</t>
        </is>
      </c>
      <c r="H55" s="15" t="n">
        <v>46202.79091435186</v>
      </c>
      <c r="I55" s="14" t="inlineStr">
        <is>
          <t>white_check_mark</t>
        </is>
      </c>
      <c r="J55" s="14" t="inlineStr">
        <is>
          <t>✅</t>
        </is>
      </c>
      <c r="K55" s="14" t="inlineStr">
        <is>
          <t>@kburkett</t>
        </is>
      </c>
      <c r="L55" s="14" t="inlineStr">
        <is>
          <t>@kburkett</t>
        </is>
      </c>
      <c r="M55" s="15" t="n">
        <v>46202.93311342593</v>
      </c>
      <c r="N55" s="14" t="inlineStr">
        <is>
          <t>0 days 3 hrs</t>
        </is>
      </c>
    </row>
    <row r="56">
      <c r="A56" s="14" t="inlineStr">
        <is>
          <t>https://qualtrics.slack.com/archives/C02KP7NE6FP/p1782781233677379</t>
        </is>
      </c>
      <c r="B56" s="14" t="inlineStr">
        <is>
          <t>INV00021491</t>
        </is>
      </c>
      <c r="C56" s="14" t="n">
        <v>8752.5</v>
      </c>
      <c r="D56" s="14" t="inlineStr">
        <is>
          <t>Coupa</t>
        </is>
      </c>
      <c r="E56" s="14" t="inlineStr">
        <is>
          <t>WAYPO3409</t>
        </is>
      </c>
      <c r="F56" s="14" t="n"/>
      <c r="G56" s="14" t="inlineStr">
        <is>
          <t>Daniela Gomez Viscaino</t>
        </is>
      </c>
      <c r="H56" s="15" t="n">
        <v>46202.79179398148</v>
      </c>
      <c r="I56" s="14" t="inlineStr">
        <is>
          <t>white_check_mark</t>
        </is>
      </c>
      <c r="J56" s="14" t="inlineStr">
        <is>
          <t>✅</t>
        </is>
      </c>
      <c r="K56" s="14" t="inlineStr">
        <is>
          <t>@kburkett</t>
        </is>
      </c>
      <c r="L56" s="14" t="inlineStr">
        <is>
          <t>@kburkett</t>
        </is>
      </c>
      <c r="M56" s="15" t="n">
        <v>46202.92932870371</v>
      </c>
      <c r="N56" s="14" t="inlineStr">
        <is>
          <t>0 days 3 hrs</t>
        </is>
      </c>
    </row>
    <row r="57">
      <c r="A57" s="14" t="inlineStr">
        <is>
          <t>https://qualtrics.slack.com/archives/C02KP7NE6FP/p1782781400902979</t>
        </is>
      </c>
      <c r="B57" s="14" t="inlineStr">
        <is>
          <t>INV00021769</t>
        </is>
      </c>
      <c r="C57" s="14" t="n">
        <v>58439.39</v>
      </c>
      <c r="D57" s="14" t="inlineStr">
        <is>
          <t>Coupa</t>
        </is>
      </c>
      <c r="E57" s="14" t="n">
        <v>5200375249</v>
      </c>
      <c r="F57" s="14" t="n"/>
      <c r="G57" s="14" t="inlineStr">
        <is>
          <t>Daniela Gomez Viscaino</t>
        </is>
      </c>
      <c r="H57" s="15" t="n">
        <v>46202.79376157407</v>
      </c>
      <c r="I57" s="14" t="inlineStr">
        <is>
          <t>white_check_mark</t>
        </is>
      </c>
      <c r="J57" s="14" t="inlineStr">
        <is>
          <t>✅</t>
        </is>
      </c>
      <c r="K57" s="14" t="inlineStr">
        <is>
          <t>@alejandram</t>
        </is>
      </c>
      <c r="L57" s="14" t="inlineStr">
        <is>
          <t>@kburkett</t>
        </is>
      </c>
      <c r="M57" s="15" t="n">
        <v>46210.34105324074</v>
      </c>
      <c r="N57" s="14" t="inlineStr">
        <is>
          <t>7 days 13 hrs</t>
        </is>
      </c>
    </row>
    <row r="58">
      <c r="A58" s="14" t="inlineStr">
        <is>
          <t>https://qualtrics.slack.com/archives/C02KP7NE6FP/p1782783951045149</t>
        </is>
      </c>
      <c r="B58" s="14" t="inlineStr">
        <is>
          <t>INV00021673</t>
        </is>
      </c>
      <c r="C58" s="14" t="n">
        <v>135000</v>
      </c>
      <c r="D58" s="14" t="inlineStr">
        <is>
          <t>Taulia</t>
        </is>
      </c>
      <c r="E58" s="14" t="n">
        <v>8350154679</v>
      </c>
      <c r="F58" s="14" t="inlineStr">
        <is>
          <t>Hi team, can you please confirm if this has already been uploaded and if not, can you please uploade this ASAP? This is a part of an executive escalation in APJ ANZ. Thank you!</t>
        </is>
      </c>
      <c r="G58" s="14" t="inlineStr">
        <is>
          <t>Ashley Hudson</t>
        </is>
      </c>
      <c r="H58" s="15" t="n">
        <v>46202.82228009259</v>
      </c>
      <c r="I58" s="14" t="inlineStr">
        <is>
          <t>white_check_mark</t>
        </is>
      </c>
      <c r="J58" s="14" t="inlineStr">
        <is>
          <t>✅</t>
        </is>
      </c>
      <c r="K58" s="14" t="inlineStr">
        <is>
          <t>@kburkett</t>
        </is>
      </c>
      <c r="L58" s="14" t="inlineStr">
        <is>
          <t>@kburkett</t>
        </is>
      </c>
      <c r="M58" s="15" t="n">
        <v>46202.89962962963</v>
      </c>
      <c r="N58" s="14" t="inlineStr">
        <is>
          <t>0 days 1 hrs</t>
        </is>
      </c>
    </row>
    <row r="59">
      <c r="A59" s="14" t="inlineStr">
        <is>
          <t>https://qualtrics.slack.com/archives/C02KP7NE6FP/p1782839197642209</t>
        </is>
      </c>
      <c r="B59" s="14" t="inlineStr">
        <is>
          <t>INV00022143</t>
        </is>
      </c>
      <c r="C59" s="14" t="n">
        <v>8287.5</v>
      </c>
      <c r="D59" s="14" t="inlineStr">
        <is>
          <t>ariba</t>
        </is>
      </c>
      <c r="E59" s="14" t="inlineStr">
        <is>
          <t>PO2339695</t>
        </is>
      </c>
      <c r="F59" s="14" t="inlineStr">
        <is>
          <t>Hi team, your help with the upload of this customer. Thanks!</t>
        </is>
      </c>
      <c r="G59" s="14" t="inlineStr">
        <is>
          <t>Daniela Gomez Viscaino</t>
        </is>
      </c>
      <c r="H59" s="15" t="n">
        <v>46203.46219907407</v>
      </c>
      <c r="I59" s="14" t="inlineStr">
        <is>
          <t>white_check_mark</t>
        </is>
      </c>
      <c r="J59" s="14" t="inlineStr">
        <is>
          <t>✅</t>
        </is>
      </c>
      <c r="K59" s="14" t="inlineStr">
        <is>
          <t>@dreimers</t>
        </is>
      </c>
      <c r="L59" s="14" t="inlineStr">
        <is>
          <t>@dreimers</t>
        </is>
      </c>
      <c r="M59" s="15" t="n">
        <v>46218.47298611111</v>
      </c>
      <c r="N59" s="14" t="inlineStr">
        <is>
          <t>15 days 0 hrs</t>
        </is>
      </c>
    </row>
    <row r="60">
      <c r="A60" s="14" t="inlineStr">
        <is>
          <t>https://qualtrics.slack.com/archives/C02KP7NE6FP/p1782848673192709</t>
        </is>
      </c>
      <c r="B60" s="14" t="inlineStr">
        <is>
          <t>INV00019962</t>
        </is>
      </c>
      <c r="C60" s="14" t="n">
        <v>68750</v>
      </c>
      <c r="D60" s="14" t="inlineStr">
        <is>
          <t>Ariba</t>
        </is>
      </c>
      <c r="E60" s="14" t="n"/>
      <c r="F60" s="14" t="inlineStr">
        <is>
          <t>Can we please set up a note so ALL invoices for UHG are send to Ariba?</t>
        </is>
      </c>
      <c r="G60" s="14" t="inlineStr">
        <is>
          <t>Elías Chávez Zamorano</t>
        </is>
      </c>
      <c r="H60" s="15" t="n">
        <v>46203.55204861111</v>
      </c>
      <c r="I60" s="14" t="inlineStr">
        <is>
          <t>white_check_mark</t>
        </is>
      </c>
      <c r="J60" s="14" t="inlineStr">
        <is>
          <t>✅</t>
        </is>
      </c>
      <c r="K60" s="14" t="inlineStr">
        <is>
          <t>@dreimers</t>
        </is>
      </c>
      <c r="L60" s="14" t="inlineStr">
        <is>
          <t>@dreimers</t>
        </is>
      </c>
      <c r="M60" s="15" t="n">
        <v>46204.50627314814</v>
      </c>
      <c r="N60" s="14" t="inlineStr">
        <is>
          <t>0 days 22 hrs</t>
        </is>
      </c>
    </row>
    <row r="61">
      <c r="A61" s="14" t="inlineStr">
        <is>
          <t>https://qualtrics.slack.com/archives/C02KP7NE6FP/p1782920703110419</t>
        </is>
      </c>
      <c r="B61" s="14" t="inlineStr">
        <is>
          <t>INV00021682</t>
        </is>
      </c>
      <c r="C61" s="14" t="n">
        <v>470000</v>
      </c>
      <c r="D61" s="14" t="inlineStr">
        <is>
          <t>Ariba</t>
        </is>
      </c>
      <c r="E61" s="14" t="inlineStr">
        <is>
          <t>C14345</t>
        </is>
      </c>
      <c r="F61" s="14" t="inlineStr">
        <is>
          <t>Hi team, could you please upload this invoice to the portal? Thanks!</t>
        </is>
      </c>
      <c r="G61" s="14" t="inlineStr">
        <is>
          <t>Daniela Gomez Viscaino</t>
        </is>
      </c>
      <c r="H61" s="15" t="n">
        <v>46204.40569444445</v>
      </c>
      <c r="I61" s="14" t="inlineStr">
        <is>
          <t>white_check_mark</t>
        </is>
      </c>
      <c r="J61" s="14" t="inlineStr">
        <is>
          <t>✅</t>
        </is>
      </c>
      <c r="K61" s="14" t="inlineStr">
        <is>
          <t>@aprilj</t>
        </is>
      </c>
      <c r="L61" s="14" t="inlineStr">
        <is>
          <t>@aprilj</t>
        </is>
      </c>
      <c r="M61" s="15" t="n">
        <v>46204.42306712963</v>
      </c>
      <c r="N61" s="14" t="inlineStr">
        <is>
          <t>0 days 0 hrs</t>
        </is>
      </c>
    </row>
    <row r="62">
      <c r="A62" s="14" t="inlineStr">
        <is>
          <t>https://qualtrics.slack.com/archives/C02KP7NE6FP/p1782921476713909</t>
        </is>
      </c>
      <c r="B62" s="14" t="n">
        <v>471137</v>
      </c>
      <c r="C62" s="14" t="n">
        <v>14943.64</v>
      </c>
      <c r="D62" s="14" t="inlineStr">
        <is>
          <t>Option 1: (Preferred - Via Peppol): * Peppol ID: 9938:lu19805732 (connecting through an access point)  Option 2 (Alternative): Via the free portal MyGuichet.lu</t>
        </is>
      </c>
      <c r="E62" s="14" t="inlineStr">
        <is>
          <t>n/s</t>
        </is>
      </c>
      <c r="F62" s="14" t="n"/>
      <c r="G62" s="14" t="inlineStr">
        <is>
          <t>Yulian Trishch</t>
        </is>
      </c>
      <c r="H62" s="15" t="n">
        <v>46204.41184027777</v>
      </c>
      <c r="I62" s="14" t="inlineStr">
        <is>
          <t>white_check_mark</t>
        </is>
      </c>
      <c r="J62" s="14" t="inlineStr">
        <is>
          <t>✅</t>
        </is>
      </c>
      <c r="K62" s="14" t="inlineStr">
        <is>
          <t>@dreimers</t>
        </is>
      </c>
      <c r="L62" s="14" t="inlineStr">
        <is>
          <t>@dreimers</t>
        </is>
      </c>
      <c r="M62" s="15" t="n">
        <v>46209.48625</v>
      </c>
      <c r="N62" s="14" t="inlineStr">
        <is>
          <t>5 days 1 hrs</t>
        </is>
      </c>
    </row>
    <row r="63">
      <c r="A63" s="14" t="inlineStr">
        <is>
          <t>https://qualtrics.slack.com/archives/C02KP7NE6FP/p1782937304716389</t>
        </is>
      </c>
      <c r="B63" s="14" t="n">
        <v>467590</v>
      </c>
      <c r="C63" s="14" t="n">
        <v>60000</v>
      </c>
      <c r="D63" s="14" t="inlineStr">
        <is>
          <t>Ariba</t>
        </is>
      </c>
      <c r="E63" s="14" t="n">
        <v>4100819224</v>
      </c>
      <c r="F63" s="14" t="inlineStr">
        <is>
          <t>Google invoice, please upload without taxes (if applicable).</t>
        </is>
      </c>
      <c r="G63" s="14" t="inlineStr">
        <is>
          <t>Abril Marmolejo Portillo</t>
        </is>
      </c>
      <c r="H63" s="15" t="n">
        <v>46204.59792824074</v>
      </c>
      <c r="I63" s="14" t="inlineStr">
        <is>
          <t>white_check_mark</t>
        </is>
      </c>
      <c r="J63" s="14" t="inlineStr">
        <is>
          <t>✅</t>
        </is>
      </c>
      <c r="K63" s="14" t="inlineStr">
        <is>
          <t>@dreimers</t>
        </is>
      </c>
      <c r="L63" s="14" t="inlineStr">
        <is>
          <t>@dreimers</t>
        </is>
      </c>
      <c r="M63" s="15" t="n">
        <v>46204.61782407408</v>
      </c>
      <c r="N63" s="14" t="inlineStr">
        <is>
          <t>0 days 0 hrs</t>
        </is>
      </c>
    </row>
    <row r="64">
      <c r="A64" s="14" t="inlineStr">
        <is>
          <t>https://qualtrics.slack.com/archives/C02KP7NE6FP/p1782939564767019</t>
        </is>
      </c>
      <c r="B64" s="14" t="inlineStr">
        <is>
          <t>INV00022317</t>
        </is>
      </c>
      <c r="C64" s="14" t="n">
        <v>11940.75</v>
      </c>
      <c r="D64" s="14" t="inlineStr">
        <is>
          <t>Ariba</t>
        </is>
      </c>
      <c r="E64" s="14" t="n">
        <v>4100809710</v>
      </c>
      <c r="F64" s="14" t="n"/>
      <c r="G64" s="14" t="inlineStr">
        <is>
          <t>Andrea Juarez</t>
        </is>
      </c>
      <c r="H64" s="15" t="n">
        <v>46204.62413194445</v>
      </c>
      <c r="I64" s="14" t="inlineStr">
        <is>
          <t>white_check_mark</t>
        </is>
      </c>
      <c r="J64" s="14" t="inlineStr">
        <is>
          <t>✅</t>
        </is>
      </c>
      <c r="K64" s="14" t="inlineStr">
        <is>
          <t>@dreimers</t>
        </is>
      </c>
      <c r="L64" s="14" t="inlineStr">
        <is>
          <t>@dreimers</t>
        </is>
      </c>
      <c r="M64" s="15" t="n">
        <v>46205.411875</v>
      </c>
      <c r="N64" s="14" t="inlineStr">
        <is>
          <t>0 days 18 hrs</t>
        </is>
      </c>
    </row>
    <row r="65">
      <c r="A65" s="14" t="inlineStr">
        <is>
          <t>https://qualtrics.slack.com/archives/C02KP7NE6FP/p1783021662463589</t>
        </is>
      </c>
      <c r="B65" s="14" t="n">
        <v>471148</v>
      </c>
      <c r="C65" s="14" t="n">
        <v>5644049</v>
      </c>
      <c r="D65" s="14" t="inlineStr">
        <is>
          <t>Ariba</t>
        </is>
      </c>
      <c r="E65" s="14" t="n">
        <v>4571069</v>
      </c>
      <c r="F65" s="14" t="n"/>
      <c r="G65" s="14" t="inlineStr">
        <is>
          <t>Jose Novelo</t>
        </is>
      </c>
      <c r="H65" s="15" t="n">
        <v>46205.57357638889</v>
      </c>
      <c r="I65" s="14" t="inlineStr">
        <is>
          <t>white_check_mark</t>
        </is>
      </c>
      <c r="J65" s="14" t="inlineStr">
        <is>
          <t>✅</t>
        </is>
      </c>
      <c r="K65" s="14" t="inlineStr">
        <is>
          <t>@dreimers</t>
        </is>
      </c>
      <c r="L65" s="14" t="inlineStr">
        <is>
          <t>@dreimers</t>
        </is>
      </c>
      <c r="M65" s="15" t="n">
        <v>46206.39912037037</v>
      </c>
      <c r="N65" s="14" t="inlineStr">
        <is>
          <t>0 days 19 hrs</t>
        </is>
      </c>
    </row>
    <row r="66">
      <c r="A66" s="14" t="inlineStr">
        <is>
          <t>https://qualtrics.slack.com/archives/C02KP7NE6FP/p1783029669135139</t>
        </is>
      </c>
      <c r="B66" s="14" t="n">
        <v>465913</v>
      </c>
      <c r="C66" s="14" t="n">
        <v>11839.75</v>
      </c>
      <c r="D66" s="14" t="inlineStr">
        <is>
          <t>Coupa</t>
        </is>
      </c>
      <c r="E66" s="14" t="inlineStr">
        <is>
          <t>C000159264</t>
        </is>
      </c>
      <c r="F66" s="14" t="inlineStr">
        <is>
          <t>This PO covers $6,000 of the invoice</t>
        </is>
      </c>
      <c r="G66" s="14" t="inlineStr">
        <is>
          <t>Fernando Anaya</t>
        </is>
      </c>
      <c r="H66" s="15" t="n">
        <v>46205.66292824074</v>
      </c>
      <c r="I66" s="14" t="inlineStr">
        <is>
          <t>white_check_mark</t>
        </is>
      </c>
      <c r="J66" s="14" t="inlineStr">
        <is>
          <t>✅</t>
        </is>
      </c>
      <c r="K66" s="14" t="inlineStr">
        <is>
          <t>@dreimers</t>
        </is>
      </c>
      <c r="L66" s="14" t="inlineStr">
        <is>
          <t>@dreimers</t>
        </is>
      </c>
      <c r="M66" s="15" t="n">
        <v>46206.44606481482</v>
      </c>
      <c r="N66" s="14" t="inlineStr">
        <is>
          <t>0 days 18 hrs</t>
        </is>
      </c>
    </row>
    <row r="67">
      <c r="A67" s="14" t="inlineStr">
        <is>
          <t>https://qualtrics.slack.com/archives/C02KP7NE6FP/p1783095362693999</t>
        </is>
      </c>
      <c r="B67" s="14" t="n">
        <v>471232</v>
      </c>
      <c r="C67" s="14" t="n">
        <v>30995.01</v>
      </c>
      <c r="D67" s="14" t="inlineStr">
        <is>
          <t>Ariba</t>
        </is>
      </c>
      <c r="E67" s="14" t="n">
        <v>4100733205</v>
      </c>
      <c r="F67" s="14" t="n"/>
      <c r="G67" s="14" t="inlineStr">
        <is>
          <t>Fabrizio Rico del Mazo</t>
        </is>
      </c>
      <c r="H67" s="15" t="n">
        <v>46206.42717592593</v>
      </c>
      <c r="I67" s="14" t="inlineStr">
        <is>
          <t>white_check_mark</t>
        </is>
      </c>
      <c r="J67" s="14" t="inlineStr">
        <is>
          <t>✅</t>
        </is>
      </c>
      <c r="K67" s="14" t="inlineStr">
        <is>
          <t>@dreimers</t>
        </is>
      </c>
      <c r="L67" s="14" t="inlineStr">
        <is>
          <t>@dreimers</t>
        </is>
      </c>
      <c r="M67" s="15" t="n">
        <v>46206.44741898148</v>
      </c>
      <c r="N67" s="14" t="inlineStr">
        <is>
          <t>0 days 0 hrs</t>
        </is>
      </c>
    </row>
    <row r="68">
      <c r="A68" s="14" t="inlineStr">
        <is>
          <t>https://qualtrics.slack.com/archives/C02KP7NE6FP/p1783096056684209</t>
        </is>
      </c>
      <c r="B68" s="14" t="n">
        <v>471234</v>
      </c>
      <c r="C68" s="14" t="n">
        <v>34884</v>
      </c>
      <c r="D68" s="14" t="inlineStr">
        <is>
          <t>Ariba</t>
        </is>
      </c>
      <c r="E68" s="14" t="n">
        <v>4300058098</v>
      </c>
      <c r="F68" s="14" t="n"/>
      <c r="G68" s="14" t="inlineStr">
        <is>
          <t>Fabrizio Rico del Mazo</t>
        </is>
      </c>
      <c r="H68" s="15" t="n">
        <v>46206.43543981481</v>
      </c>
      <c r="I68" s="14" t="inlineStr">
        <is>
          <t>white_check_mark</t>
        </is>
      </c>
      <c r="J68" s="14" t="inlineStr">
        <is>
          <t>✅</t>
        </is>
      </c>
      <c r="K68" s="14" t="inlineStr">
        <is>
          <t>@dreimers</t>
        </is>
      </c>
      <c r="L68" s="14" t="inlineStr">
        <is>
          <t>@dreimers</t>
        </is>
      </c>
      <c r="M68" s="15" t="n">
        <v>46206.45150462963</v>
      </c>
      <c r="N68" s="14" t="inlineStr">
        <is>
          <t>0 days 0 hrs</t>
        </is>
      </c>
    </row>
    <row r="69">
      <c r="A69" s="14" t="inlineStr">
        <is>
          <t>https://qualtrics.slack.com/archives/C02KP7NE6FP/p1783096121469759</t>
        </is>
      </c>
      <c r="B69" s="14" t="n">
        <v>471235</v>
      </c>
      <c r="C69" s="14" t="n">
        <v>17748</v>
      </c>
      <c r="D69" s="14" t="inlineStr">
        <is>
          <t>Ariba</t>
        </is>
      </c>
      <c r="E69" s="14" t="n">
        <v>4300058098</v>
      </c>
      <c r="F69" s="14" t="n"/>
      <c r="G69" s="14" t="inlineStr">
        <is>
          <t>Fabrizio Rico del Mazo</t>
        </is>
      </c>
      <c r="H69" s="15" t="n">
        <v>46206.43613425926</v>
      </c>
      <c r="I69" s="14" t="inlineStr">
        <is>
          <t>white_check_mark</t>
        </is>
      </c>
      <c r="J69" s="14" t="inlineStr">
        <is>
          <t>✅</t>
        </is>
      </c>
      <c r="K69" s="14" t="inlineStr">
        <is>
          <t>@dreimers</t>
        </is>
      </c>
      <c r="L69" s="14" t="inlineStr">
        <is>
          <t>@dreimers</t>
        </is>
      </c>
      <c r="M69" s="15" t="n">
        <v>46206.51376157408</v>
      </c>
      <c r="N69" s="14" t="inlineStr">
        <is>
          <t>0 days 1 hrs</t>
        </is>
      </c>
    </row>
    <row r="70">
      <c r="A70" s="14" t="inlineStr">
        <is>
          <t>https://qualtrics.slack.com/archives/C02KP7NE6FP/p1783096225477409</t>
        </is>
      </c>
      <c r="B70" s="14" t="n">
        <v>471236</v>
      </c>
      <c r="C70" s="14" t="n">
        <v>8568</v>
      </c>
      <c r="D70" s="14" t="inlineStr">
        <is>
          <t>Ariba</t>
        </is>
      </c>
      <c r="E70" s="14" t="n">
        <v>4300058098</v>
      </c>
      <c r="F70" s="14" t="inlineStr">
        <is>
          <t>AR</t>
        </is>
      </c>
      <c r="G70" s="14" t="inlineStr">
        <is>
          <t>Fabrizio Rico del Mazo</t>
        </is>
      </c>
      <c r="H70" s="15" t="n">
        <v>46206.4366087963</v>
      </c>
      <c r="I70" s="14" t="inlineStr">
        <is>
          <t>white_check_mark</t>
        </is>
      </c>
      <c r="J70" s="14" t="inlineStr">
        <is>
          <t>✅</t>
        </is>
      </c>
      <c r="K70" s="14" t="inlineStr">
        <is>
          <t>@dreimers</t>
        </is>
      </c>
      <c r="L70" s="14" t="inlineStr">
        <is>
          <t>@dreimers</t>
        </is>
      </c>
      <c r="M70" s="15" t="n">
        <v>46245.38761574074</v>
      </c>
      <c r="N70" s="14" t="inlineStr">
        <is>
          <t>38 days 22 hrs</t>
        </is>
      </c>
    </row>
    <row r="71">
      <c r="A71" s="14" t="inlineStr">
        <is>
          <t>https://qualtrics.slack.com/archives/C02KP7NE6FP/p1783323228536079</t>
        </is>
      </c>
      <c r="B71" s="14" t="n">
        <v>464416</v>
      </c>
      <c r="C71" s="14" t="n">
        <v>400000</v>
      </c>
      <c r="D71" s="14" t="inlineStr">
        <is>
          <t>https://aof16igsa.accounts.ondemand.com/oauth2/authorize?client_id=a6b877e0-3b0e-468f-95a2-71da64eb729c&amp;response_type=code&amp;redirect_uri=https%3A%2F%2Fpihprod.authentication.eu10.hana.ondemand.com%2Flogin%2Fcallback%2Fhttpsaof16igsa.accounts.ondemand.com&amp;state=QNU4Mo8xi7&amp;code_challenge=bQH2TO14-IIbsadIzDWlvNxrRLXLqzXjCjNYxcRgP7w&amp;code_challenge_method=S256&amp;scope=email+openid+profile&amp;nonce=c82THVKsG_2V</t>
        </is>
      </c>
      <c r="E71" s="14" t="inlineStr">
        <is>
          <t>confused as to what to put in the PO number (please see attached)</t>
        </is>
      </c>
      <c r="F71" s="14" t="inlineStr">
        <is>
          <t>ticket reference : https://odo.corp.qualtrics.com/?TopNav=Tickets&amp;b=TicketViewer&amp;tid=ZZ_EDE60075E8464F77</t>
        </is>
      </c>
      <c r="G71" s="14" t="inlineStr">
        <is>
          <t>Bhumika Kokate</t>
        </is>
      </c>
      <c r="H71" s="15" t="n">
        <v>46209.06267361111</v>
      </c>
      <c r="I71" s="14" t="inlineStr">
        <is>
          <t>white_check_mark</t>
        </is>
      </c>
      <c r="J71" s="14" t="inlineStr">
        <is>
          <t>✅</t>
        </is>
      </c>
      <c r="K71" s="14" t="inlineStr">
        <is>
          <t>@dreimers</t>
        </is>
      </c>
      <c r="L71" s="14" t="inlineStr">
        <is>
          <t>@dreimers</t>
        </is>
      </c>
      <c r="M71" s="15" t="n">
        <v>46209.46458333333</v>
      </c>
      <c r="N71" s="14" t="inlineStr">
        <is>
          <t>0 days 9 hrs</t>
        </is>
      </c>
    </row>
    <row r="72">
      <c r="A72" s="14" t="inlineStr">
        <is>
          <t>https://qualtrics.slack.com/archives/C02KP7NE6FP/p1783349844911569</t>
        </is>
      </c>
      <c r="B72" s="14" t="n">
        <v>470826</v>
      </c>
      <c r="C72" s="14" t="n">
        <v>5762.41</v>
      </c>
      <c r="D72" s="14" t="inlineStr">
        <is>
          <t>Chorus Pro</t>
        </is>
      </c>
      <c r="E72" s="14" t="inlineStr">
        <is>
          <t>1) 4500449836 2) 4500449278</t>
        </is>
      </c>
      <c r="F72" s="14" t="inlineStr">
        <is>
          <t>Hi Team, could you please upload invoice 470826 to the Chorus Pro portal? There must be two PO numbers bc of the customer's internal requirements; I'm attaching the PO's in question to the workflow. Thank you!</t>
        </is>
      </c>
      <c r="G72" s="14" t="inlineStr">
        <is>
          <t>Gabriela Kwaśniewska</t>
        </is>
      </c>
      <c r="H72" s="15" t="n">
        <v>46209.36998842593</v>
      </c>
      <c r="I72" s="14" t="inlineStr">
        <is>
          <t>white_check_mark</t>
        </is>
      </c>
      <c r="J72" s="14" t="inlineStr">
        <is>
          <t>✅</t>
        </is>
      </c>
      <c r="K72" s="14" t="inlineStr">
        <is>
          <t>@dreimers</t>
        </is>
      </c>
      <c r="L72" s="14" t="inlineStr">
        <is>
          <t>@dreimers</t>
        </is>
      </c>
      <c r="M72" s="15" t="n">
        <v>46209.46138888889</v>
      </c>
      <c r="N72" s="14" t="inlineStr">
        <is>
          <t>0 days 2 hrs</t>
        </is>
      </c>
    </row>
    <row r="73">
      <c r="A73" s="14" t="inlineStr">
        <is>
          <t>https://qualtrics.slack.com/archives/C02KP7NE6FP/p1783537689819299</t>
        </is>
      </c>
      <c r="B73" s="14" t="n">
        <v>433710</v>
      </c>
      <c r="C73" s="14" t="n">
        <v>9536.950000000001</v>
      </c>
      <c r="D73" s="14" t="inlineStr">
        <is>
          <t>Coupa</t>
        </is>
      </c>
      <c r="E73" s="14" t="inlineStr">
        <is>
          <t>C000159264</t>
        </is>
      </c>
      <c r="F73" s="14" t="n"/>
      <c r="G73" s="14" t="inlineStr">
        <is>
          <t>Fernando Anaya</t>
        </is>
      </c>
      <c r="H73" s="15" t="n">
        <v>46211.5466087963</v>
      </c>
      <c r="I73" s="14" t="inlineStr">
        <is>
          <t>white_check_mark</t>
        </is>
      </c>
      <c r="J73" s="14" t="inlineStr">
        <is>
          <t>✅</t>
        </is>
      </c>
      <c r="K73" s="14" t="inlineStr">
        <is>
          <t>@dreimers</t>
        </is>
      </c>
      <c r="L73" s="14" t="inlineStr">
        <is>
          <t>@dreimers</t>
        </is>
      </c>
      <c r="M73" s="15" t="n">
        <v>46231.49832175926</v>
      </c>
      <c r="N73" s="14" t="inlineStr">
        <is>
          <t>19 days 22 hrs</t>
        </is>
      </c>
    </row>
    <row r="74">
      <c r="A74" s="14" t="inlineStr">
        <is>
          <t>https://qualtrics.slack.com/archives/C02KP7NE6FP/p1783537889016149</t>
        </is>
      </c>
      <c r="B74" s="14" t="n">
        <v>465913</v>
      </c>
      <c r="C74" s="14" t="n">
        <v>11839.75</v>
      </c>
      <c r="D74" s="14" t="inlineStr">
        <is>
          <t>Coupa</t>
        </is>
      </c>
      <c r="E74" s="14" t="inlineStr">
        <is>
          <t>C000338202</t>
        </is>
      </c>
      <c r="F74" s="14" t="n"/>
      <c r="G74" s="14" t="inlineStr">
        <is>
          <t>Fernando Anaya</t>
        </is>
      </c>
      <c r="H74" s="15" t="n">
        <v>46211.54913194444</v>
      </c>
      <c r="I74" s="14" t="inlineStr">
        <is>
          <t>white_check_mark</t>
        </is>
      </c>
      <c r="J74" s="14" t="inlineStr">
        <is>
          <t>✅</t>
        </is>
      </c>
      <c r="K74" s="14" t="inlineStr">
        <is>
          <t>@dreimers</t>
        </is>
      </c>
      <c r="L74" s="14" t="inlineStr">
        <is>
          <t>@dreimers</t>
        </is>
      </c>
      <c r="M74" s="15" t="n">
        <v>46231.49868055555</v>
      </c>
      <c r="N74" s="14" t="inlineStr">
        <is>
          <t>19 days 22 hrs</t>
        </is>
      </c>
    </row>
    <row r="75">
      <c r="A75" s="14" t="inlineStr">
        <is>
          <t>https://qualtrics.slack.com/archives/C02KP7NE6FP/p1783538118203689</t>
        </is>
      </c>
      <c r="B75" s="14" t="inlineStr">
        <is>
          <t>INV00022719</t>
        </is>
      </c>
      <c r="C75" s="14" t="inlineStr">
        <is>
          <t>$103,151.04 USD</t>
        </is>
      </c>
      <c r="D75" s="14" t="inlineStr">
        <is>
          <t>Coupa</t>
        </is>
      </c>
      <c r="E75" s="14" t="inlineStr">
        <is>
          <t>EMINC030671</t>
        </is>
      </c>
      <c r="F75" s="14" t="inlineStr">
        <is>
          <t>This is a manual invoice approved by Tristan Carlisle - Deloitte is fixing the zuora contract as it is splitting the invoice in 2 different PDFs. Any concerns, please let me know. Thank you!</t>
        </is>
      </c>
      <c r="G75" s="14" t="inlineStr">
        <is>
          <t>Maria de Lourdes López Núñez</t>
        </is>
      </c>
      <c r="H75" s="15" t="n">
        <v>46211.5509375</v>
      </c>
      <c r="I75" s="14" t="inlineStr">
        <is>
          <t>white_check_mark</t>
        </is>
      </c>
      <c r="J75" s="14" t="inlineStr">
        <is>
          <t>✅</t>
        </is>
      </c>
      <c r="K75" s="14" t="inlineStr">
        <is>
          <t>@dreimers</t>
        </is>
      </c>
      <c r="L75" s="14" t="inlineStr">
        <is>
          <t>@dreimers</t>
        </is>
      </c>
      <c r="M75" s="15" t="n">
        <v>46211.60092592592</v>
      </c>
      <c r="N75" s="14" t="inlineStr">
        <is>
          <t>0 days 1 hrs</t>
        </is>
      </c>
    </row>
    <row r="76">
      <c r="A76" s="14" t="inlineStr">
        <is>
          <t>https://qualtrics.slack.com/archives/C02KP7NE6FP/p1783540660113399</t>
        </is>
      </c>
      <c r="B76" s="14" t="inlineStr">
        <is>
          <t>INV00022892</t>
        </is>
      </c>
      <c r="C76" s="14" t="n">
        <v>18950</v>
      </c>
      <c r="D76" s="14" t="inlineStr">
        <is>
          <t>ARIBA</t>
        </is>
      </c>
      <c r="E76" s="14" t="n">
        <v>4100821392</v>
      </c>
      <c r="F76" s="14" t="n"/>
      <c r="G76" s="14" t="inlineStr">
        <is>
          <t>Andrea Juarez</t>
        </is>
      </c>
      <c r="H76" s="15" t="n">
        <v>46211.58126157407</v>
      </c>
      <c r="I76" s="14" t="inlineStr">
        <is>
          <t>white_check_mark</t>
        </is>
      </c>
      <c r="J76" s="14" t="inlineStr">
        <is>
          <t>✅</t>
        </is>
      </c>
      <c r="K76" s="14" t="inlineStr">
        <is>
          <t>@dreimers</t>
        </is>
      </c>
      <c r="L76" s="14" t="inlineStr">
        <is>
          <t>@dreimers</t>
        </is>
      </c>
      <c r="M76" s="15" t="n">
        <v>46211.61304398148</v>
      </c>
      <c r="N76" s="14" t="inlineStr">
        <is>
          <t>0 days 0 hrs</t>
        </is>
      </c>
    </row>
    <row r="77">
      <c r="A77" s="14" t="inlineStr">
        <is>
          <t>https://qualtrics.slack.com/archives/C02KP7NE6FP/p1783540692181239</t>
        </is>
      </c>
      <c r="B77" s="14" t="inlineStr">
        <is>
          <t>INV00022324</t>
        </is>
      </c>
      <c r="C77" s="14" t="n">
        <v>65832.39</v>
      </c>
      <c r="D77" s="14" t="inlineStr">
        <is>
          <t>Ariba</t>
        </is>
      </c>
      <c r="E77" s="14" t="n">
        <v>4504632525</v>
      </c>
      <c r="F77" s="14" t="n"/>
      <c r="G77" s="14" t="inlineStr">
        <is>
          <t>Daniela Gomez Viscaino</t>
        </is>
      </c>
      <c r="H77" s="15" t="n">
        <v>46211.58181712963</v>
      </c>
      <c r="I77" s="14" t="inlineStr">
        <is>
          <t>white_check_mark</t>
        </is>
      </c>
      <c r="J77" s="14" t="inlineStr">
        <is>
          <t>✅</t>
        </is>
      </c>
      <c r="K77" s="14" t="inlineStr">
        <is>
          <t>@dreimers</t>
        </is>
      </c>
      <c r="L77" s="14" t="inlineStr">
        <is>
          <t>@dreimers</t>
        </is>
      </c>
      <c r="M77" s="15" t="n">
        <v>46211.61459490741</v>
      </c>
      <c r="N77" s="14" t="inlineStr">
        <is>
          <t>0 days 0 hrs</t>
        </is>
      </c>
    </row>
    <row r="78">
      <c r="A78" s="14" t="inlineStr">
        <is>
          <t>https://qualtrics.slack.com/archives/C02KP7NE6FP/p1783600241295799</t>
        </is>
      </c>
      <c r="B78" s="14" t="n">
        <v>470840</v>
      </c>
      <c r="C78" s="14" t="inlineStr">
        <is>
          <t>EUR 5000</t>
        </is>
      </c>
      <c r="D78" s="14" t="inlineStr">
        <is>
          <t>Chorus Pro</t>
        </is>
      </c>
      <c r="E78" s="14" t="n">
        <v>4500497963</v>
      </c>
      <c r="F78" s="14" t="n"/>
      <c r="G78" s="14" t="inlineStr">
        <is>
          <t>Gabriela Kwaśniewska</t>
        </is>
      </c>
      <c r="H78" s="15" t="n">
        <v>46212.2705787037</v>
      </c>
      <c r="I78" s="14" t="inlineStr">
        <is>
          <t>white_check_mark</t>
        </is>
      </c>
      <c r="J78" s="14" t="inlineStr">
        <is>
          <t>✅</t>
        </is>
      </c>
      <c r="K78" s="14" t="inlineStr">
        <is>
          <t>@dreimers</t>
        </is>
      </c>
      <c r="L78" s="14" t="inlineStr">
        <is>
          <t>@dreimers</t>
        </is>
      </c>
      <c r="M78" s="15" t="n">
        <v>46212.48398148148</v>
      </c>
      <c r="N78" s="14" t="inlineStr">
        <is>
          <t>0 days 5 hrs</t>
        </is>
      </c>
    </row>
    <row r="79">
      <c r="A79" s="14" t="inlineStr">
        <is>
          <t>https://qualtrics.slack.com/archives/C02KP7NE6FP/p1783659623608169</t>
        </is>
      </c>
      <c r="B79" s="14" t="n">
        <v>465391</v>
      </c>
      <c r="C79" s="14" t="n">
        <v>26547.11</v>
      </c>
      <c r="D79" s="14" t="inlineStr">
        <is>
          <t>Ariba</t>
        </is>
      </c>
      <c r="E79" s="14" t="inlineStr">
        <is>
          <t>PO3303110</t>
        </is>
      </c>
      <c r="F79" s="14" t="n"/>
      <c r="G79" s="14" t="inlineStr">
        <is>
          <t>George Kahy</t>
        </is>
      </c>
      <c r="H79" s="15" t="n">
        <v>46212.95761574074</v>
      </c>
      <c r="I79" s="14" t="inlineStr">
        <is>
          <t>white_check_mark</t>
        </is>
      </c>
      <c r="J79" s="14" t="inlineStr">
        <is>
          <t>✅</t>
        </is>
      </c>
      <c r="K79" s="14" t="inlineStr">
        <is>
          <t>@dreimers</t>
        </is>
      </c>
      <c r="L79" s="14" t="inlineStr">
        <is>
          <t>@dreimers</t>
        </is>
      </c>
      <c r="M79" s="15" t="n">
        <v>46213.49804398148</v>
      </c>
      <c r="N79" s="14" t="inlineStr">
        <is>
          <t>0 days 12 hrs</t>
        </is>
      </c>
    </row>
    <row r="80">
      <c r="A80" s="14" t="inlineStr">
        <is>
          <t>https://qualtrics.slack.com/archives/C02KP7NE6FP/p1783720549721079</t>
        </is>
      </c>
      <c r="B80" s="14" t="n"/>
      <c r="C80" s="14" t="n"/>
      <c r="D80" s="14" t="n"/>
      <c r="E80" s="14" t="n"/>
      <c r="F80" s="14" t="inlineStr">
        <is>
          <t>Hi team, we received an automatic notification stating that the Electronic Invoicing Reform (RFE) will come into effect on September 1, 2026, for large enterprises and mid-cap companies (ETI), and on September 1, 2027, for SMEs. It mandates electronic invoicing via an Approved Platform (Plateforme Agréée - PA) for all invoices addressed to TDF SAS (SIREN 342404399). I am attaching the file that came with the email, just thought you would want the heads up, not sure if there is anything that needs to be done. The Account in SFDC is T D F.</t>
        </is>
      </c>
      <c r="G80" s="14" t="inlineStr">
        <is>
          <t>Andres Prieto</t>
        </is>
      </c>
      <c r="H80" s="15" t="n">
        <v>46213.66116898148</v>
      </c>
      <c r="I80" s="14" t="inlineStr">
        <is>
          <t>white_check_mark</t>
        </is>
      </c>
      <c r="J80" s="14" t="inlineStr">
        <is>
          <t>✅</t>
        </is>
      </c>
      <c r="K80" s="14" t="inlineStr">
        <is>
          <t>@dreimers</t>
        </is>
      </c>
      <c r="L80" s="14" t="inlineStr">
        <is>
          <t>@dreimers</t>
        </is>
      </c>
      <c r="M80" s="15" t="n">
        <v>46216.50620370371</v>
      </c>
      <c r="N80" s="14" t="inlineStr">
        <is>
          <t>2 days 20 hrs</t>
        </is>
      </c>
    </row>
    <row r="81">
      <c r="A81" s="14" t="inlineStr">
        <is>
          <t>https://qualtrics.slack.com/archives/C02KP7NE6FP/p1783722187403289</t>
        </is>
      </c>
      <c r="B81" s="14" t="n">
        <v>471288</v>
      </c>
      <c r="C81" s="14" t="inlineStr">
        <is>
          <t>INR  6,254,388.00</t>
        </is>
      </c>
      <c r="D81" s="14" t="inlineStr">
        <is>
          <t>Ariba</t>
        </is>
      </c>
      <c r="E81" s="14" t="n">
        <v>9200085142</v>
      </c>
      <c r="F81" s="14" t="n"/>
      <c r="G81" s="14" t="inlineStr">
        <is>
          <t>Alejandro Salazar Copado</t>
        </is>
      </c>
      <c r="H81" s="15" t="n">
        <v>46213.6821412037</v>
      </c>
      <c r="I81" s="14" t="inlineStr">
        <is>
          <t>white_check_mark</t>
        </is>
      </c>
      <c r="J81" s="14" t="inlineStr">
        <is>
          <t>✅</t>
        </is>
      </c>
      <c r="K81" s="14" t="inlineStr">
        <is>
          <t>@dreimers</t>
        </is>
      </c>
      <c r="L81" s="14" t="inlineStr">
        <is>
          <t>@dreimers</t>
        </is>
      </c>
      <c r="M81" s="15" t="n">
        <v>46216.50920138889</v>
      </c>
      <c r="N81" s="14" t="inlineStr">
        <is>
          <t>2 days 19 hrs</t>
        </is>
      </c>
    </row>
    <row r="82">
      <c r="A82" s="14" t="inlineStr">
        <is>
          <t>https://qualtrics.slack.com/archives/C02KP7NE6FP/p1783956955494869</t>
        </is>
      </c>
      <c r="B82" s="14" t="n">
        <v>471302</v>
      </c>
      <c r="C82" s="14" t="n">
        <v>393466.13</v>
      </c>
      <c r="D82" s="14" t="inlineStr">
        <is>
          <t>Ariba</t>
        </is>
      </c>
      <c r="E82" s="14" t="inlineStr">
        <is>
          <t>BD81091</t>
        </is>
      </c>
      <c r="F82" s="14" t="n"/>
      <c r="G82" s="14" t="inlineStr">
        <is>
          <t>Alejandro Salazar Copado</t>
        </is>
      </c>
      <c r="H82" s="15" t="n">
        <v>46216.39956018519</v>
      </c>
      <c r="I82" s="14" t="inlineStr">
        <is>
          <t>white_check_mark</t>
        </is>
      </c>
      <c r="J82" s="14" t="inlineStr">
        <is>
          <t>✅</t>
        </is>
      </c>
      <c r="K82" s="14" t="inlineStr">
        <is>
          <t>@dreimers</t>
        </is>
      </c>
      <c r="L82" s="14" t="inlineStr">
        <is>
          <t>@dreimers</t>
        </is>
      </c>
      <c r="M82" s="15" t="n">
        <v>46218.46796296296</v>
      </c>
      <c r="N82" s="14" t="inlineStr">
        <is>
          <t>2 days 1 hrs</t>
        </is>
      </c>
    </row>
    <row r="83">
      <c r="A83" s="14" t="inlineStr">
        <is>
          <t>https://qualtrics.slack.com/archives/C02KP7NE6FP/p1783962749437319</t>
        </is>
      </c>
      <c r="B83" s="14" t="n">
        <v>471289</v>
      </c>
      <c r="C83" s="14" t="n">
        <v>800000</v>
      </c>
      <c r="D83" s="14" t="inlineStr">
        <is>
          <t>Ariba - McDonald's</t>
        </is>
      </c>
      <c r="E83" s="14" t="inlineStr">
        <is>
          <t>P O U S 0 0 1 0 0 0 0 0 0 9 1 7</t>
        </is>
      </c>
      <c r="F83" s="14" t="inlineStr">
        <is>
          <t>McDonald's</t>
        </is>
      </c>
      <c r="G83" s="14" t="inlineStr">
        <is>
          <t>Karla Tellez</t>
        </is>
      </c>
      <c r="H83" s="15" t="n">
        <v>46216.46428240741</v>
      </c>
      <c r="I83" s="14" t="inlineStr">
        <is>
          <t>white_check_mark</t>
        </is>
      </c>
      <c r="J83" s="14" t="inlineStr">
        <is>
          <t>✅</t>
        </is>
      </c>
      <c r="K83" s="14" t="inlineStr">
        <is>
          <t>@dreimers</t>
        </is>
      </c>
      <c r="L83" s="14" t="inlineStr">
        <is>
          <t>@dreimers</t>
        </is>
      </c>
      <c r="M83" s="15" t="n">
        <v>46216.51510416667</v>
      </c>
      <c r="N83" s="14" t="inlineStr">
        <is>
          <t>0 days 1 hrs</t>
        </is>
      </c>
    </row>
    <row r="84">
      <c r="A84" s="14" t="inlineStr">
        <is>
          <t>https://qualtrics.slack.com/archives/C02KP7NE6FP/p1783974051159589</t>
        </is>
      </c>
      <c r="B84" s="14" t="inlineStr">
        <is>
          <t>INV00023439</t>
        </is>
      </c>
      <c r="C84" s="14" t="n">
        <v>776740</v>
      </c>
      <c r="D84" s="14" t="inlineStr">
        <is>
          <t>Coupa</t>
        </is>
      </c>
      <c r="E84" s="14" t="inlineStr">
        <is>
          <t>POC212559</t>
        </is>
      </c>
      <c r="F84" s="14" t="inlineStr">
        <is>
          <t>upload in Coupa under KPMG LLP - QUALTRICS LLC (1000034721)</t>
        </is>
      </c>
      <c r="G84" s="14" t="inlineStr">
        <is>
          <t>Cindy Espinola</t>
        </is>
      </c>
      <c r="H84" s="15" t="n">
        <v>46216.5969212963</v>
      </c>
      <c r="I84" s="14" t="inlineStr">
        <is>
          <t>white_check_mark</t>
        </is>
      </c>
      <c r="J84" s="14" t="inlineStr">
        <is>
          <t>✅</t>
        </is>
      </c>
      <c r="K84" s="14" t="inlineStr">
        <is>
          <t>@dreimers</t>
        </is>
      </c>
      <c r="L84" s="14" t="inlineStr">
        <is>
          <t>@dreimers</t>
        </is>
      </c>
      <c r="M84" s="15" t="n">
        <v>46216.60158564815</v>
      </c>
      <c r="N84" s="14" t="inlineStr">
        <is>
          <t>0 days 0 hrs</t>
        </is>
      </c>
    </row>
    <row r="85">
      <c r="A85" s="14" t="inlineStr">
        <is>
          <t>https://qualtrics.slack.com/archives/C02KP7NE6FP/p1784007289327999</t>
        </is>
      </c>
      <c r="B85" s="14" t="inlineStr">
        <is>
          <t>INV00020373</t>
        </is>
      </c>
      <c r="C85" s="14" t="n">
        <v>209034</v>
      </c>
      <c r="D85" s="14" t="inlineStr">
        <is>
          <t>Coupa</t>
        </is>
      </c>
      <c r="E85" s="14" t="n">
        <v>376864</v>
      </c>
      <c r="F85" s="14" t="n"/>
      <c r="G85" s="14" t="inlineStr">
        <is>
          <t>Daiki Hayashi</t>
        </is>
      </c>
      <c r="H85" s="15" t="n">
        <v>46216.98214120371</v>
      </c>
      <c r="I85" s="14" t="inlineStr">
        <is>
          <t>white_check_mark</t>
        </is>
      </c>
      <c r="J85" s="14" t="inlineStr">
        <is>
          <t>✅</t>
        </is>
      </c>
      <c r="K85" s="14" t="inlineStr">
        <is>
          <t>@dreimers</t>
        </is>
      </c>
      <c r="L85" s="14" t="inlineStr">
        <is>
          <t>@dreimers</t>
        </is>
      </c>
      <c r="M85" s="15" t="n">
        <v>46218.46759259259</v>
      </c>
      <c r="N85" s="14" t="inlineStr">
        <is>
          <t>1 days 11 hrs</t>
        </is>
      </c>
    </row>
    <row r="86">
      <c r="A86" s="14" t="inlineStr">
        <is>
          <t>https://qualtrics.slack.com/archives/C02KP7NE6FP/p1784042880474209</t>
        </is>
      </c>
      <c r="B86" s="14" t="inlineStr">
        <is>
          <t>INV00022437</t>
        </is>
      </c>
      <c r="C86" s="14" t="inlineStr">
        <is>
          <t>GBP 224,999.00</t>
        </is>
      </c>
      <c r="D86" s="14" t="inlineStr">
        <is>
          <t>Ariba</t>
        </is>
      </c>
      <c r="E86" s="14" t="n"/>
      <c r="F86" s="14" t="inlineStr">
        <is>
          <t>Hi team, we need to register the Ariba customer Portal. Thanks! Link  https://portal.us.bn.cloud.ariba.com/onboarding/portal/nextgen#/landinghere</t>
        </is>
      </c>
      <c r="G86" s="14" t="inlineStr">
        <is>
          <t>Mariana Senkovych</t>
        </is>
      </c>
      <c r="H86" s="15" t="n">
        <v>46217.39230324074</v>
      </c>
      <c r="I86" s="14" t="inlineStr">
        <is>
          <t>white_check_mark</t>
        </is>
      </c>
      <c r="J86" s="14" t="inlineStr">
        <is>
          <t>✅</t>
        </is>
      </c>
      <c r="K86" s="14" t="inlineStr">
        <is>
          <t>@dreimers</t>
        </is>
      </c>
      <c r="L86" s="14" t="inlineStr">
        <is>
          <t>@dreimers</t>
        </is>
      </c>
      <c r="M86" s="15" t="n">
        <v>46218.55229166667</v>
      </c>
      <c r="N86" s="14" t="inlineStr">
        <is>
          <t>1 days 3 hrs</t>
        </is>
      </c>
    </row>
    <row r="87">
      <c r="A87" s="14" t="inlineStr">
        <is>
          <t>https://qualtrics.slack.com/archives/C02KP7NE6FP/p1784047732512439</t>
        </is>
      </c>
      <c r="B87" s="14" t="n">
        <v>377444</v>
      </c>
      <c r="C87" s="14" t="n">
        <v>29063.99</v>
      </c>
      <c r="D87" s="14" t="inlineStr">
        <is>
          <t>https://www.roshn.sa/en/opportunities</t>
        </is>
      </c>
      <c r="E87" s="14" t="inlineStr">
        <is>
          <t>PO-RRE23124</t>
        </is>
      </c>
      <c r="F87" s="14" t="inlineStr">
        <is>
          <t>she sd the invoice needs to be uploaded online through their portal... roshn.sa .....click opportunities.... scroll down to vendor section and click new registrations and client needs to register and upload invoice.</t>
        </is>
      </c>
      <c r="G87" s="14" t="inlineStr">
        <is>
          <t>Nathan Smith</t>
        </is>
      </c>
      <c r="H87" s="15" t="n">
        <v>46217.44951388889</v>
      </c>
      <c r="I87" s="14" t="inlineStr">
        <is>
          <t>white_check_mark</t>
        </is>
      </c>
      <c r="J87" s="14" t="inlineStr">
        <is>
          <t>✅</t>
        </is>
      </c>
      <c r="K87" s="14" t="inlineStr">
        <is>
          <t>@dreimers</t>
        </is>
      </c>
      <c r="L87" s="14" t="inlineStr">
        <is>
          <t>@dreimers</t>
        </is>
      </c>
      <c r="M87" s="15" t="n">
        <v>46245.38123842593</v>
      </c>
      <c r="N87" s="14" t="inlineStr">
        <is>
          <t>27 days 22 hrs</t>
        </is>
      </c>
    </row>
    <row r="88">
      <c r="A88" s="14" t="inlineStr">
        <is>
          <t>https://qualtrics.slack.com/archives/C02KP7NE6FP/p1784225706072839</t>
        </is>
      </c>
      <c r="B88" s="14" t="inlineStr">
        <is>
          <t>INV00023643</t>
        </is>
      </c>
      <c r="C88" s="14" t="n">
        <v>810</v>
      </c>
      <c r="D88" s="14" t="inlineStr">
        <is>
          <t>Google</t>
        </is>
      </c>
      <c r="E88" s="14" t="n">
        <v>4100816298</v>
      </c>
      <c r="F88" s="14" t="n"/>
      <c r="G88" s="14" t="inlineStr">
        <is>
          <t>Diego Cué Vázquez</t>
        </is>
      </c>
      <c r="H88" s="15" t="n">
        <v>46219.51006944444</v>
      </c>
      <c r="I88" s="14" t="inlineStr">
        <is>
          <t>white_check_mark</t>
        </is>
      </c>
      <c r="J88" s="14" t="inlineStr">
        <is>
          <t>✅</t>
        </is>
      </c>
      <c r="K88" s="14" t="inlineStr">
        <is>
          <t>@dreimers</t>
        </is>
      </c>
      <c r="L88" s="14" t="inlineStr">
        <is>
          <t>@dreimers</t>
        </is>
      </c>
      <c r="M88" s="15" t="n">
        <v>46219.59121527777</v>
      </c>
      <c r="N88" s="14" t="inlineStr">
        <is>
          <t>0 days 1 hrs</t>
        </is>
      </c>
    </row>
    <row r="89">
      <c r="A89" s="14" t="inlineStr">
        <is>
          <t>https://qualtrics.slack.com/archives/C02KP7NE6FP/p1784231709730789</t>
        </is>
      </c>
      <c r="B89" s="14" t="n">
        <v>468661</v>
      </c>
      <c r="C89" s="14" t="n">
        <v>29380</v>
      </c>
      <c r="D89" s="14" t="inlineStr">
        <is>
          <t>Vendor Invoice Management Portal (Pipefy)</t>
        </is>
      </c>
      <c r="E89" s="14" t="n">
        <v>2001786443</v>
      </c>
      <c r="F89" s="14" t="inlineStr">
        <is>
          <t>Hi team! Got this message from the customer: https://odo.corp.qualtrics.com/?TopNav=Tickets&amp;a=Tickets&amp;b=TicketViewer&amp;tid=ZZ_C523CF7E5BE94E18</t>
        </is>
      </c>
      <c r="G89" s="14" t="inlineStr">
        <is>
          <t>Erick Z. Cabrera</t>
        </is>
      </c>
      <c r="H89" s="15" t="n">
        <v>46219.57888888889</v>
      </c>
      <c r="I89" s="14" t="inlineStr">
        <is>
          <t>white_check_mark</t>
        </is>
      </c>
      <c r="J89" s="14" t="inlineStr">
        <is>
          <t>✅</t>
        </is>
      </c>
      <c r="K89" s="14" t="inlineStr">
        <is>
          <t>@dreimers</t>
        </is>
      </c>
      <c r="L89" s="14" t="inlineStr">
        <is>
          <t>@dreimers</t>
        </is>
      </c>
      <c r="M89" s="15" t="n">
        <v>46223.59344907408</v>
      </c>
      <c r="N89" s="14" t="inlineStr">
        <is>
          <t>4 days 0 hrs</t>
        </is>
      </c>
    </row>
    <row r="90">
      <c r="A90" s="14" t="inlineStr">
        <is>
          <t>https://qualtrics.slack.com/archives/C02KP7NE6FP/p1784319620012709</t>
        </is>
      </c>
      <c r="B90" s="14" t="inlineStr">
        <is>
          <t>INV00023799</t>
        </is>
      </c>
      <c r="C90" s="14" t="n">
        <v>421200</v>
      </c>
      <c r="D90" s="14" t="inlineStr">
        <is>
          <t>Tungsten</t>
        </is>
      </c>
      <c r="E90" s="14" t="inlineStr">
        <is>
          <t>Non PO, could you please try to find it? Thank you!</t>
        </is>
      </c>
      <c r="F90" s="14" t="n"/>
      <c r="G90" s="14" t="inlineStr">
        <is>
          <t>Cindy Espinola</t>
        </is>
      </c>
      <c r="H90" s="15" t="n">
        <v>46220.59633101852</v>
      </c>
      <c r="I90" s="14" t="inlineStr">
        <is>
          <t>white_check_mark</t>
        </is>
      </c>
      <c r="J90" s="14" t="inlineStr">
        <is>
          <t>✅</t>
        </is>
      </c>
      <c r="K90" s="14" t="inlineStr">
        <is>
          <t>@dreimers</t>
        </is>
      </c>
      <c r="L90" s="14" t="inlineStr">
        <is>
          <t>@dreimers</t>
        </is>
      </c>
      <c r="M90" s="15" t="n">
        <v>46223.59318287037</v>
      </c>
      <c r="N90" s="14" t="inlineStr">
        <is>
          <t>2 days 23 hrs</t>
        </is>
      </c>
    </row>
    <row r="91">
      <c r="A91" s="14" t="inlineStr">
        <is>
          <t>https://qualtrics.slack.com/archives/C02KP7NE6FP/p1784576994260589</t>
        </is>
      </c>
      <c r="B91" s="14" t="inlineStr">
        <is>
          <t>INV00020544</t>
        </is>
      </c>
      <c r="C91" s="14" t="n">
        <v>3398.16</v>
      </c>
      <c r="D91" s="14" t="inlineStr">
        <is>
          <t>Coupa</t>
        </is>
      </c>
      <c r="E91" s="14" t="inlineStr">
        <is>
          <t>SG1011000477800</t>
        </is>
      </c>
      <c r="F91" s="14" t="inlineStr">
        <is>
          <t>Hello Team, I have received the instruction to submit invoice to Coupa mailbox: invoices+singapore_ops@aon.coupahost.com</t>
        </is>
      </c>
      <c r="G91" s="14" t="inlineStr">
        <is>
          <t>Nikhil Anjikar</t>
        </is>
      </c>
      <c r="H91" s="15" t="n">
        <v>46223.57290509259</v>
      </c>
      <c r="I91" s="14" t="inlineStr">
        <is>
          <t>white_check_mark</t>
        </is>
      </c>
      <c r="J91" s="14" t="inlineStr">
        <is>
          <t>✅</t>
        </is>
      </c>
      <c r="K91" s="14" t="inlineStr">
        <is>
          <t>@dreimers</t>
        </is>
      </c>
      <c r="L91" s="14" t="inlineStr">
        <is>
          <t>@dreimers</t>
        </is>
      </c>
      <c r="M91" s="15" t="n">
        <v>46223.59586805556</v>
      </c>
      <c r="N91" s="14" t="inlineStr">
        <is>
          <t>0 days 0 hrs</t>
        </is>
      </c>
    </row>
    <row r="92">
      <c r="A92" s="14" t="inlineStr">
        <is>
          <t>https://qualtrics.slack.com/archives/C02KP7NE6FP/p1784630293893669</t>
        </is>
      </c>
      <c r="B92" s="14" t="inlineStr">
        <is>
          <t>INV00023799</t>
        </is>
      </c>
      <c r="C92" s="14" t="inlineStr">
        <is>
          <t>421 200,00 €</t>
        </is>
      </c>
      <c r="D92" s="14" t="inlineStr">
        <is>
          <t>Tradeshift</t>
        </is>
      </c>
      <c r="E92" s="14" t="inlineStr">
        <is>
          <t>PO17883029.</t>
        </is>
      </c>
      <c r="F92" s="14" t="inlineStr">
        <is>
          <t>Hi all, I have added the PO to Zuora and made notes as for portal upload. Not sure if sb reads the comments so I decided to create a portal request here as well.</t>
        </is>
      </c>
      <c r="G92" s="14" t="inlineStr">
        <is>
          <t>Mariana Senkovych</t>
        </is>
      </c>
      <c r="H92" s="15" t="n">
        <v>46224.19207175926</v>
      </c>
      <c r="I92" s="14" t="inlineStr">
        <is>
          <t>white_check_mark</t>
        </is>
      </c>
      <c r="J92" s="14" t="inlineStr">
        <is>
          <t>✅</t>
        </is>
      </c>
      <c r="K92" s="14" t="inlineStr">
        <is>
          <t>@dreimers</t>
        </is>
      </c>
      <c r="L92" s="14" t="inlineStr">
        <is>
          <t>@dreimers</t>
        </is>
      </c>
      <c r="M92" s="15" t="n">
        <v>46224.44824074074</v>
      </c>
      <c r="N92" s="14" t="inlineStr">
        <is>
          <t>0 days 6 hrs</t>
        </is>
      </c>
    </row>
    <row r="93">
      <c r="A93" s="14" t="inlineStr">
        <is>
          <t>https://qualtrics.slack.com/archives/C02KP7NE6FP/p1784647599706229</t>
        </is>
      </c>
      <c r="B93" s="14" t="inlineStr">
        <is>
          <t>INV00022435</t>
        </is>
      </c>
      <c r="C93" s="14" t="n">
        <v>307677.27</v>
      </c>
      <c r="D93" s="14" t="inlineStr">
        <is>
          <t>Sesami</t>
        </is>
      </c>
      <c r="E93" s="14" t="n"/>
      <c r="F93" s="14" t="inlineStr">
        <is>
          <t>Hello team, can you make sure invoice is submitted to their portal (sesami)</t>
        </is>
      </c>
      <c r="G93" s="14" t="inlineStr">
        <is>
          <t>Mariano Muniain</t>
        </is>
      </c>
      <c r="H93" s="15" t="n">
        <v>46224.39155092592</v>
      </c>
      <c r="I93" s="14" t="inlineStr">
        <is>
          <t>white_check_mark</t>
        </is>
      </c>
      <c r="J93" s="14" t="inlineStr">
        <is>
          <t>✅</t>
        </is>
      </c>
      <c r="K93" s="14" t="inlineStr">
        <is>
          <t>@eparedes</t>
        </is>
      </c>
      <c r="L93" s="14" t="inlineStr">
        <is>
          <t>@dreimers</t>
        </is>
      </c>
      <c r="M93" s="15" t="n">
        <v>46224.53614583334</v>
      </c>
      <c r="N93" s="14" t="inlineStr">
        <is>
          <t>0 days 3 hrs</t>
        </is>
      </c>
    </row>
    <row r="94">
      <c r="A94" s="14" t="inlineStr">
        <is>
          <t>https://qualtrics.slack.com/archives/C02KP7NE6FP/p1784650553741169</t>
        </is>
      </c>
      <c r="B94" s="14" t="inlineStr">
        <is>
          <t>INV00023491</t>
        </is>
      </c>
      <c r="C94" s="14" t="n">
        <v>40000</v>
      </c>
      <c r="D94" s="14" t="inlineStr">
        <is>
          <t>Easy platform</t>
        </is>
      </c>
      <c r="E94" s="14" t="n"/>
      <c r="F94" s="14" t="n"/>
      <c r="G94" s="14" t="inlineStr">
        <is>
          <t>Fabrizio Rico del Mazo</t>
        </is>
      </c>
      <c r="H94" s="15" t="n">
        <v>46224.42703703704</v>
      </c>
      <c r="I94" s="14" t="inlineStr">
        <is>
          <t>white_check_mark</t>
        </is>
      </c>
      <c r="J94" s="14" t="inlineStr">
        <is>
          <t>✅</t>
        </is>
      </c>
      <c r="K94" s="14" t="inlineStr">
        <is>
          <t>@dreimers</t>
        </is>
      </c>
      <c r="L94" s="14" t="inlineStr">
        <is>
          <t>@dreimers</t>
        </is>
      </c>
      <c r="M94" s="15" t="n">
        <v>46224.46887731482</v>
      </c>
      <c r="N94" s="14" t="inlineStr">
        <is>
          <t>0 days 1 hrs</t>
        </is>
      </c>
    </row>
    <row r="95">
      <c r="A95" s="14" t="inlineStr">
        <is>
          <t>https://qualtrics.slack.com/archives/C02KP7NE6FP/p1784743433231479</t>
        </is>
      </c>
      <c r="B95" s="14" t="inlineStr">
        <is>
          <t>4 6 5 3 6 9</t>
        </is>
      </c>
      <c r="C95" s="14" t="n">
        <v>2100</v>
      </c>
      <c r="D95" s="14" t="inlineStr">
        <is>
          <t>Transcepta</t>
        </is>
      </c>
      <c r="E95" s="14" t="inlineStr">
        <is>
          <t>B 0 0 3 2 5 5 5 8 6</t>
        </is>
      </c>
      <c r="F95" s="14" t="inlineStr">
        <is>
          <t>Hi team! Can you pls help us upload the invoice to their portal? Thanks!</t>
        </is>
      </c>
      <c r="G95" s="14" t="inlineStr">
        <is>
          <t>Aity Sánchez Sandoval</t>
        </is>
      </c>
      <c r="H95" s="15" t="n">
        <v>46225.50163194445</v>
      </c>
      <c r="I95" s="14" t="inlineStr">
        <is>
          <t>white_check_mark</t>
        </is>
      </c>
      <c r="J95" s="14" t="inlineStr">
        <is>
          <t>✅</t>
        </is>
      </c>
      <c r="K95" s="14" t="inlineStr">
        <is>
          <t>@dreimers</t>
        </is>
      </c>
      <c r="L95" s="14" t="inlineStr">
        <is>
          <t>@dreimers</t>
        </is>
      </c>
      <c r="M95" s="15" t="n">
        <v>46226.39471064815</v>
      </c>
      <c r="N95" s="14" t="inlineStr">
        <is>
          <t>0 days 21 hrs</t>
        </is>
      </c>
    </row>
    <row r="96">
      <c r="A96" s="14" t="inlineStr">
        <is>
          <t>https://qualtrics.slack.com/archives/C02KP7NE6FP/p1784743819778489</t>
        </is>
      </c>
      <c r="B96" s="14" t="inlineStr">
        <is>
          <t>INV00023728</t>
        </is>
      </c>
      <c r="C96" s="14" t="n">
        <v>5600</v>
      </c>
      <c r="D96" s="14" t="inlineStr">
        <is>
          <t>University of Pennsylvania's dedicated supplier/vendor portal.</t>
        </is>
      </c>
      <c r="E96" s="14" t="n"/>
      <c r="F96" s="14" t="inlineStr">
        <is>
          <t>Customer cannot process payment because Penn’s supplier portal still lists Qualtrics’ corporate address (333 W River Park Drive, Provo UT 84604) as the payment address, while the invoice states not to send payment there. Please update Qualtrics’ remittance/payment address in the customer supplier portal/vendor profile so the invoice can be paid.</t>
        </is>
      </c>
      <c r="G96" s="14" t="inlineStr">
        <is>
          <t>Aity Sánchez Sandoval</t>
        </is>
      </c>
      <c r="H96" s="15" t="n">
        <v>46225.50575231481</v>
      </c>
      <c r="I96" s="14" t="inlineStr">
        <is>
          <t>white_check_mark</t>
        </is>
      </c>
      <c r="J96" s="14" t="inlineStr">
        <is>
          <t>✅</t>
        </is>
      </c>
      <c r="K96" s="14" t="inlineStr">
        <is>
          <t>@dreimers</t>
        </is>
      </c>
      <c r="L96" s="14" t="inlineStr">
        <is>
          <t>@dreimers</t>
        </is>
      </c>
      <c r="M96" s="15" t="n">
        <v>46225.56233796296</v>
      </c>
      <c r="N96" s="14" t="inlineStr">
        <is>
          <t>0 days 1 hrs</t>
        </is>
      </c>
    </row>
    <row r="97">
      <c r="A97" s="14" t="inlineStr">
        <is>
          <t>https://qualtrics.slack.com/archives/C02KP7NE6FP/p1784766611937409</t>
        </is>
      </c>
      <c r="B97" s="14" t="inlineStr">
        <is>
          <t>INV00023950</t>
        </is>
      </c>
      <c r="C97" s="14" t="n">
        <v>84000</v>
      </c>
      <c r="D97" s="14" t="inlineStr">
        <is>
          <t>Coupa</t>
        </is>
      </c>
      <c r="E97" s="14" t="n">
        <v>35931</v>
      </c>
      <c r="F97" s="14" t="n"/>
      <c r="G97" s="14" t="inlineStr">
        <is>
          <t>Cindy Espinola</t>
        </is>
      </c>
      <c r="H97" s="15" t="n">
        <v>46225.76797453704</v>
      </c>
      <c r="I97" s="14" t="inlineStr">
        <is>
          <t>white_check_mark</t>
        </is>
      </c>
      <c r="J97" s="14" t="inlineStr">
        <is>
          <t>✅</t>
        </is>
      </c>
      <c r="K97" s="14" t="inlineStr">
        <is>
          <t>@dreimers</t>
        </is>
      </c>
      <c r="L97" s="14" t="inlineStr">
        <is>
          <t>@dreimers</t>
        </is>
      </c>
      <c r="M97" s="15" t="n">
        <v>46226.40005787037</v>
      </c>
      <c r="N97" s="14" t="inlineStr">
        <is>
          <t>0 days 15 hrs</t>
        </is>
      </c>
    </row>
    <row r="98">
      <c r="A98" s="14" t="inlineStr">
        <is>
          <t>https://qualtrics.slack.com/archives/C02KP7NE6FP/p1784826631368629</t>
        </is>
      </c>
      <c r="B98" s="14" t="inlineStr">
        <is>
          <t>INV00023865</t>
        </is>
      </c>
      <c r="C98" s="14" t="n">
        <v>155840</v>
      </c>
      <c r="D98" s="14" t="inlineStr">
        <is>
          <t>Microsoft</t>
        </is>
      </c>
      <c r="E98" s="14" t="inlineStr">
        <is>
          <t>I don't have the PO#</t>
        </is>
      </c>
      <c r="F98" s="14" t="n"/>
      <c r="G98" s="14" t="inlineStr">
        <is>
          <t>Diego Cué Vázquez</t>
        </is>
      </c>
      <c r="H98" s="15" t="n">
        <v>46226.46505787037</v>
      </c>
      <c r="I98" s="14" t="inlineStr">
        <is>
          <t>white_check_mark</t>
        </is>
      </c>
      <c r="J98" s="14" t="inlineStr">
        <is>
          <t>✅</t>
        </is>
      </c>
      <c r="K98" s="14" t="inlineStr">
        <is>
          <t>@alejandram</t>
        </is>
      </c>
      <c r="L98" s="14" t="inlineStr">
        <is>
          <t>@dreimers</t>
        </is>
      </c>
      <c r="M98" s="15" t="n">
        <v>46227.34571759259</v>
      </c>
      <c r="N98" s="14" t="inlineStr">
        <is>
          <t>0 days 21 hrs</t>
        </is>
      </c>
    </row>
    <row r="99">
      <c r="A99" s="14" t="inlineStr">
        <is>
          <t>https://qualtrics.slack.com/archives/C02KP7NE6FP/p1784826671718129</t>
        </is>
      </c>
      <c r="B99" s="14" t="inlineStr">
        <is>
          <t>INV00023868</t>
        </is>
      </c>
      <c r="C99" s="14" t="n">
        <v>119104.88</v>
      </c>
      <c r="D99" s="14" t="inlineStr">
        <is>
          <t>Ariba</t>
        </is>
      </c>
      <c r="E99" s="14" t="inlineStr">
        <is>
          <t>not needed need to submit to ariba</t>
        </is>
      </c>
      <c r="F99" s="14" t="n"/>
      <c r="G99" s="14" t="inlineStr">
        <is>
          <t>Diego Cué Vázquez</t>
        </is>
      </c>
      <c r="H99" s="15" t="n">
        <v>46226.46576388889</v>
      </c>
      <c r="I99" s="14" t="inlineStr">
        <is>
          <t>white_check_mark</t>
        </is>
      </c>
      <c r="J99" s="14" t="inlineStr">
        <is>
          <t>✅</t>
        </is>
      </c>
      <c r="K99" s="14" t="inlineStr">
        <is>
          <t>@dreimers</t>
        </is>
      </c>
      <c r="L99" s="14" t="inlineStr">
        <is>
          <t>@dreimers</t>
        </is>
      </c>
      <c r="M99" s="15" t="n">
        <v>46245.38356481482</v>
      </c>
      <c r="N99" s="14" t="inlineStr">
        <is>
          <t>18 days 22 hrs</t>
        </is>
      </c>
    </row>
    <row r="100">
      <c r="A100" s="14" t="inlineStr">
        <is>
          <t>https://qualtrics.slack.com/archives/C02KP7NE6FP/p1784842112506619</t>
        </is>
      </c>
      <c r="B100" s="14" t="inlineStr">
        <is>
          <t>INV00020620</t>
        </is>
      </c>
      <c r="C100" s="14" t="n">
        <v>91878</v>
      </c>
      <c r="D100" s="14" t="inlineStr">
        <is>
          <t>Ariba</t>
        </is>
      </c>
      <c r="E100" s="14" t="n">
        <v>8200005584</v>
      </c>
      <c r="F100" s="14" t="n"/>
      <c r="G100" s="14" t="inlineStr">
        <is>
          <t>Fabrizio Rico del Mazo</t>
        </is>
      </c>
      <c r="H100" s="15" t="n">
        <v>46226.64424768519</v>
      </c>
      <c r="I100" s="14" t="inlineStr">
        <is>
          <t>white_check_mark</t>
        </is>
      </c>
      <c r="J100" s="14" t="inlineStr">
        <is>
          <t>✅</t>
        </is>
      </c>
      <c r="K100" s="14" t="inlineStr">
        <is>
          <t>@dreimers</t>
        </is>
      </c>
      <c r="L100" s="14" t="inlineStr">
        <is>
          <t>@dreimers</t>
        </is>
      </c>
      <c r="M100" s="15" t="n">
        <v>46227.42974537037</v>
      </c>
      <c r="N100" s="14" t="inlineStr">
        <is>
          <t>0 days 18 hrs</t>
        </is>
      </c>
    </row>
    <row r="101">
      <c r="A101" s="14" t="inlineStr">
        <is>
          <t>https://qualtrics.slack.com/archives/C02KP7NE6FP/p1784844140732489</t>
        </is>
      </c>
      <c r="B101" s="14" t="inlineStr">
        <is>
          <t>QILNEW2139</t>
        </is>
      </c>
      <c r="C101" s="14" t="n">
        <v>4091.04</v>
      </c>
      <c r="D101" s="14" t="inlineStr">
        <is>
          <t>Chorus Pro</t>
        </is>
      </c>
      <c r="E101" s="14" t="inlineStr">
        <is>
          <t>PO # 4500114905</t>
        </is>
      </c>
      <c r="F101" s="14" t="n"/>
      <c r="G101" s="14" t="inlineStr">
        <is>
          <t>Fabrizio Rico del Mazo</t>
        </is>
      </c>
      <c r="H101" s="15" t="n">
        <v>46226.66737268519</v>
      </c>
      <c r="I101" s="14" t="inlineStr">
        <is>
          <t>white_check_mark</t>
        </is>
      </c>
      <c r="J101" s="14" t="inlineStr">
        <is>
          <t>✅</t>
        </is>
      </c>
      <c r="K101" s="14" t="inlineStr">
        <is>
          <t>@dreimers</t>
        </is>
      </c>
      <c r="L101" s="14" t="inlineStr">
        <is>
          <t>@dreimers</t>
        </is>
      </c>
      <c r="M101" s="15" t="n">
        <v>46227.57420138889</v>
      </c>
      <c r="N101" s="14" t="inlineStr">
        <is>
          <t>0 days 21 hrs</t>
        </is>
      </c>
    </row>
    <row r="102">
      <c r="A102" s="14" t="inlineStr">
        <is>
          <t>https://qualtrics.slack.com/archives/C02KP7NE6FP/p1784922749828699</t>
        </is>
      </c>
      <c r="B102" s="14" t="n">
        <v>453627</v>
      </c>
      <c r="C102" s="14" t="n">
        <v>1795.15</v>
      </c>
      <c r="D102" s="14" t="inlineStr">
        <is>
          <t>https://www.stargdl.mx/portaldeproveedores/</t>
        </is>
      </c>
      <c r="E102" s="14" t="inlineStr">
        <is>
          <t>none</t>
        </is>
      </c>
      <c r="F102" s="14" t="n"/>
      <c r="G102" s="14" t="inlineStr">
        <is>
          <t>Nathan Smith</t>
        </is>
      </c>
      <c r="H102" s="15" t="n">
        <v>46227.57715277778</v>
      </c>
      <c r="I102" s="14" t="inlineStr">
        <is>
          <t>question</t>
        </is>
      </c>
      <c r="J102" s="14" t="inlineStr">
        <is>
          <t>❓</t>
        </is>
      </c>
      <c r="K102" s="14" t="inlineStr">
        <is>
          <t>@nathans</t>
        </is>
      </c>
      <c r="L102" s="14" t="inlineStr">
        <is>
          <t>@dreimers</t>
        </is>
      </c>
      <c r="M102" s="15" t="n">
        <v>46245.38488425926</v>
      </c>
      <c r="N102" s="14" t="inlineStr">
        <is>
          <t>17 days 19 hrs</t>
        </is>
      </c>
    </row>
    <row r="103">
      <c r="A103" s="14" t="inlineStr">
        <is>
          <t>https://qualtrics.slack.com/archives/C02KP7NE6FP/p1785117496409139</t>
        </is>
      </c>
      <c r="B103" s="14" t="n">
        <v>421511</v>
      </c>
      <c r="C103" s="14" t="n"/>
      <c r="D103" s="14" t="inlineStr">
        <is>
          <t>Coupa</t>
        </is>
      </c>
      <c r="E103" s="14" t="n"/>
      <c r="F103" s="14" t="inlineStr">
        <is>
          <t>The invoice submitted on 5 June was denied. Could you please resubmit it using the correct sold-to email address?</t>
        </is>
      </c>
      <c r="G103" s="14" t="inlineStr">
        <is>
          <t>Saiyon Tanaka</t>
        </is>
      </c>
      <c r="H103" s="15" t="n">
        <v>46229.83163194444</v>
      </c>
      <c r="I103" s="14" t="inlineStr">
        <is>
          <t>white_check_mark</t>
        </is>
      </c>
      <c r="J103" s="14" t="inlineStr">
        <is>
          <t>✅</t>
        </is>
      </c>
      <c r="K103" s="14" t="inlineStr">
        <is>
          <t>@dreimers</t>
        </is>
      </c>
      <c r="L103" s="14" t="inlineStr">
        <is>
          <t>@dreimers</t>
        </is>
      </c>
      <c r="M103" s="15" t="n">
        <v>46230.459375</v>
      </c>
      <c r="N103" s="14" t="inlineStr">
        <is>
          <t>0 days 15 hrs</t>
        </is>
      </c>
    </row>
    <row r="104">
      <c r="A104" s="14" t="inlineStr">
        <is>
          <t>https://qualtrics.slack.com/archives/C02KP7NE6FP/p1785166937118619</t>
        </is>
      </c>
      <c r="B104" s="14" t="n"/>
      <c r="C104" s="14" t="n">
        <v>74240</v>
      </c>
      <c r="D104" s="14" t="inlineStr">
        <is>
          <t>SAP Business Network</t>
        </is>
      </c>
      <c r="E104" s="14" t="inlineStr">
        <is>
          <t>POUS001000007391</t>
        </is>
      </c>
      <c r="F104" s="14" t="inlineStr">
        <is>
          <t>We received a notification stating that McDonald's Corporation is waiting for our response on SAP Business Network. Could you confirm if any action is necessary from our end? Thank you!</t>
        </is>
      </c>
      <c r="G104" s="14" t="inlineStr">
        <is>
          <t>Andres Prieto</t>
        </is>
      </c>
      <c r="H104" s="15" t="n">
        <v>46230.40052083333</v>
      </c>
      <c r="I104" s="14" t="n"/>
      <c r="J104" s="14" t="n"/>
      <c r="K104" s="14" t="n"/>
      <c r="L104" s="14" t="n"/>
      <c r="M104" s="14" t="n"/>
      <c r="N104" s="14" t="n"/>
    </row>
    <row r="105">
      <c r="A105" s="14" t="inlineStr">
        <is>
          <t>https://qualtrics.slack.com/archives/C02KP7NE6FP/p1785167679375479</t>
        </is>
      </c>
      <c r="B105" s="14" t="inlineStr">
        <is>
          <t>PR740566</t>
        </is>
      </c>
      <c r="C105" s="14" t="inlineStr">
        <is>
          <t>8,900.00 SGD</t>
        </is>
      </c>
      <c r="D105" s="14" t="inlineStr">
        <is>
          <t>ARIBA</t>
        </is>
      </c>
      <c r="E105" s="14" t="inlineStr">
        <is>
          <t>PR740566, PR742431</t>
        </is>
      </c>
      <c r="F105" s="14" t="inlineStr">
        <is>
          <t>Client has uploaded PO on ARIBA, but i dont have access to Ariba, can Finance help to check if these 2 POs are in?  Good news. I've been informed by the Finance team that both purchase orders have been approved through Ariba, as follows.  PR740566 - ($8,900.00 SGD) PR742431 - ($4,600.00 SGD)  Uploaded file(s): https://odointernal.qualtrics.com/WRQualtricsSurveyEngine/File.php?F=F_1hKbKz04IEocF9R</t>
        </is>
      </c>
      <c r="G105" s="14" t="inlineStr">
        <is>
          <t>Mariano Muniain</t>
        </is>
      </c>
      <c r="H105" s="15" t="n">
        <v>46230.4122337963</v>
      </c>
      <c r="I105" s="14" t="inlineStr">
        <is>
          <t>white_check_mark</t>
        </is>
      </c>
      <c r="J105" s="14" t="inlineStr">
        <is>
          <t>✅</t>
        </is>
      </c>
      <c r="K105" s="14" t="inlineStr">
        <is>
          <t>@alejandram</t>
        </is>
      </c>
      <c r="L105" s="14" t="inlineStr">
        <is>
          <t>@dreimers</t>
        </is>
      </c>
      <c r="M105" s="15" t="n">
        <v>46230.49866898148</v>
      </c>
      <c r="N105" s="14" t="inlineStr">
        <is>
          <t>0 days 2 hrs</t>
        </is>
      </c>
    </row>
    <row r="106">
      <c r="A106" s="14" t="inlineStr">
        <is>
          <t>https://qualtrics.slack.com/archives/C02KP7NE6FP/p1785170082697089</t>
        </is>
      </c>
      <c r="B106" s="14" t="inlineStr">
        <is>
          <t>INV00023572</t>
        </is>
      </c>
      <c r="C106" s="14" t="n">
        <v>299850</v>
      </c>
      <c r="D106" s="14" t="inlineStr">
        <is>
          <t>Ariba</t>
        </is>
      </c>
      <c r="E106" s="14" t="n"/>
      <c r="F106" s="14" t="inlineStr">
        <is>
          <t>Hello. We got some specific instructions from client for this invoice.</t>
        </is>
      </c>
      <c r="G106" s="14" t="inlineStr">
        <is>
          <t>Pamella Covarrubias</t>
        </is>
      </c>
      <c r="H106" s="15" t="n">
        <v>46230.44018518519</v>
      </c>
      <c r="I106" s="14" t="inlineStr">
        <is>
          <t>white_check_mark</t>
        </is>
      </c>
      <c r="J106" s="14" t="inlineStr">
        <is>
          <t>✅</t>
        </is>
      </c>
      <c r="K106" s="14" t="inlineStr">
        <is>
          <t>@dreimers</t>
        </is>
      </c>
      <c r="L106" s="14" t="inlineStr">
        <is>
          <t>@dreimers</t>
        </is>
      </c>
      <c r="M106" s="15" t="n">
        <v>46230.47216435185</v>
      </c>
      <c r="N106" s="14" t="inlineStr">
        <is>
          <t>0 days 0 hrs</t>
        </is>
      </c>
    </row>
    <row r="107">
      <c r="A107" s="14" t="inlineStr">
        <is>
          <t>https://qualtrics.slack.com/archives/C02KP7NE6FP/p1785247918047689</t>
        </is>
      </c>
      <c r="B107" s="14" t="inlineStr">
        <is>
          <t>INV00020848</t>
        </is>
      </c>
      <c r="C107" s="14" t="n">
        <v>1437.5</v>
      </c>
      <c r="D107" s="14" t="inlineStr">
        <is>
          <t>Ariba</t>
        </is>
      </c>
      <c r="E107" s="14" t="n">
        <v>8200006938</v>
      </c>
      <c r="F107" s="14" t="n"/>
      <c r="G107" s="14" t="inlineStr">
        <is>
          <t>Fernando Anaya</t>
        </is>
      </c>
      <c r="H107" s="15" t="n">
        <v>46231.34134259259</v>
      </c>
      <c r="I107" s="14" t="inlineStr">
        <is>
          <t>white_check_mark</t>
        </is>
      </c>
      <c r="J107" s="14" t="inlineStr">
        <is>
          <t>✅</t>
        </is>
      </c>
      <c r="K107" s="14" t="inlineStr">
        <is>
          <t>@dreimers</t>
        </is>
      </c>
      <c r="L107" s="14" t="inlineStr">
        <is>
          <t>@dreimers</t>
        </is>
      </c>
      <c r="M107" s="15" t="n">
        <v>46231.34666666666</v>
      </c>
      <c r="N107" s="14" t="inlineStr">
        <is>
          <t>0 days 0 hrs</t>
        </is>
      </c>
    </row>
    <row r="108">
      <c r="A108" s="14" t="inlineStr">
        <is>
          <t>https://qualtrics.slack.com/archives/C02KP7NE6FP/p1785351158074789</t>
        </is>
      </c>
      <c r="B108" s="14" t="inlineStr">
        <is>
          <t>INV00023030</t>
        </is>
      </c>
      <c r="C108" s="14" t="n">
        <v>5000</v>
      </c>
      <c r="D108" s="14" t="inlineStr">
        <is>
          <t>Transcepta (https://register.transcepta.com/supplier/ucsf)</t>
        </is>
      </c>
      <c r="E108" s="14" t="inlineStr">
        <is>
          <t>B003267078</t>
        </is>
      </c>
      <c r="F108" s="14" t="inlineStr">
        <is>
          <t>Hello Diego, hope you are doing well. Could you please upload the invoice in question to the portal? A registration may be required.  I have shared the portal link above, and the customer has also provided the following guidance: https://supplychain.ucsf.edu/suppliers/supplier-guide-transcepta  Please let me know if you encounter any issues, or if anything needs to be coordinated with the customer.  Thank you so much!</t>
        </is>
      </c>
      <c r="G108" s="14" t="inlineStr">
        <is>
          <t>Viki Kovaliv</t>
        </is>
      </c>
      <c r="H108" s="15" t="n">
        <v>46232.5343287037</v>
      </c>
      <c r="I108" s="14" t="inlineStr">
        <is>
          <t>white_check_mark</t>
        </is>
      </c>
      <c r="J108" s="14" t="inlineStr">
        <is>
          <t>✅</t>
        </is>
      </c>
      <c r="K108" s="14" t="inlineStr">
        <is>
          <t>@dreimers</t>
        </is>
      </c>
      <c r="L108" s="14" t="inlineStr">
        <is>
          <t>@dreimers</t>
        </is>
      </c>
      <c r="M108" s="15" t="n">
        <v>46232.57114583333</v>
      </c>
      <c r="N108" s="14" t="inlineStr">
        <is>
          <t>0 days 0 hrs</t>
        </is>
      </c>
    </row>
    <row r="109">
      <c r="A109" s="14" t="inlineStr">
        <is>
          <t>https://qualtrics.slack.com/archives/C02KP7NE6FP/p1785353541884539</t>
        </is>
      </c>
      <c r="B109" s="14" t="inlineStr">
        <is>
          <t>INV00024052</t>
        </is>
      </c>
      <c r="C109" s="14" t="n">
        <v>11040.02</v>
      </c>
      <c r="D109" s="14" t="inlineStr">
        <is>
          <t>ARIBA</t>
        </is>
      </c>
      <c r="E109" s="14" t="n">
        <v>4100822652</v>
      </c>
      <c r="F109" s="14" t="n"/>
      <c r="G109" s="14" t="inlineStr">
        <is>
          <t>Andrea Juarez</t>
        </is>
      </c>
      <c r="H109" s="15" t="n">
        <v>46232.56387731482</v>
      </c>
      <c r="I109" s="14" t="inlineStr">
        <is>
          <t>white_check_mark</t>
        </is>
      </c>
      <c r="J109" s="14" t="inlineStr">
        <is>
          <t>✅</t>
        </is>
      </c>
      <c r="K109" s="14" t="inlineStr">
        <is>
          <t>@dreimers</t>
        </is>
      </c>
      <c r="L109" s="14" t="inlineStr">
        <is>
          <t>@dreimers</t>
        </is>
      </c>
      <c r="M109" s="15" t="n">
        <v>46232.58498842592</v>
      </c>
      <c r="N109" s="14" t="inlineStr">
        <is>
          <t>0 days 0 hrs</t>
        </is>
      </c>
    </row>
    <row r="110">
      <c r="A110" s="14" t="inlineStr">
        <is>
          <t>https://qualtrics.slack.com/archives/C02KP7NE6FP/p1785358284547779</t>
        </is>
      </c>
      <c r="B110" s="14" t="n">
        <v>465215</v>
      </c>
      <c r="C110" s="14" t="n">
        <v>30471</v>
      </c>
      <c r="D110" s="14" t="inlineStr">
        <is>
          <t>AP National Security Services (SAP NS2)</t>
        </is>
      </c>
      <c r="E110" s="14" t="n">
        <v>3902</v>
      </c>
      <c r="F110" s="14" t="inlineStr">
        <is>
          <t>Request Details: REQUEST: We have contacted your organization several times regarding X-energy’s transition to SAP National Security Services (SAP NS2). It is mandatory for all Suppliers to transact via SAP Business Network, and you must accept the Trading Relationship Request (TRR) by Friday, August 7th. If you do not accept the TRR by the deadline, it may impact your ability to do business with X-energy, and we will escalate to our purchasing team. If you are not the correct decision-maker, please respond to this email with the name and contact information of the appropriate person. To accept the TRR, complete the following instructions: 1. Find the email from no-reply@ariba.cre.sapns2.us inviting you to connect with X-energy 2. Click the link in that email to create your account 3. Accept the Trading Relationship Request. If you can't find the email, check your spam folder or contact SupplierEnablement@x-energy.com and they will resend it. Important note: SAP NS2 Business Network is separate from the commercial SAP Business Network / Ariba Network, and a new registration is required even if an existing ANID exists. Additional help is available via SupplierEnablement@x-energy.com or the SAP NS2 booking link. CONTACT: Mariah Young myoung@x-energy.com  Best contact is Mariah Young at myoung@x-energy.com</t>
        </is>
      </c>
      <c r="G110" s="14" t="inlineStr">
        <is>
          <t>Sebastian Novelo</t>
        </is>
      </c>
      <c r="H110" s="15" t="n">
        <v>46232.61777777778</v>
      </c>
      <c r="I110" s="14" t="inlineStr">
        <is>
          <t>white_check_mark</t>
        </is>
      </c>
      <c r="J110" s="14" t="inlineStr">
        <is>
          <t>✅</t>
        </is>
      </c>
      <c r="K110" s="14" t="inlineStr">
        <is>
          <t>@dreimers</t>
        </is>
      </c>
      <c r="L110" s="14" t="inlineStr">
        <is>
          <t>@dreimers</t>
        </is>
      </c>
      <c r="M110" s="15" t="n">
        <v>46233.34712962963</v>
      </c>
      <c r="N110" s="14" t="inlineStr">
        <is>
          <t>0 days 17 hrs</t>
        </is>
      </c>
    </row>
    <row r="111">
      <c r="A111" s="14" t="inlineStr">
        <is>
          <t>https://qualtrics.slack.com/archives/C02KP7NE6FP/p1785364586406199</t>
        </is>
      </c>
      <c r="B111" s="14" t="inlineStr">
        <is>
          <t>INV00024404</t>
        </is>
      </c>
      <c r="C111" s="14" t="n">
        <v>45000</v>
      </c>
      <c r="D111" s="14" t="inlineStr">
        <is>
          <t>ARIBA</t>
        </is>
      </c>
      <c r="E111" s="14" t="inlineStr">
        <is>
          <t>HPEPO524793</t>
        </is>
      </c>
      <c r="F111" s="14" t="inlineStr">
        <is>
          <t>Could you please uploadded as soon as possible as the client is requesting it so they can pay at the earliest possible. Thank you.</t>
        </is>
      </c>
      <c r="G111" s="14" t="inlineStr">
        <is>
          <t>Jose Novelo</t>
        </is>
      </c>
      <c r="H111" s="15" t="n">
        <v>46232.68881944445</v>
      </c>
      <c r="I111" s="14" t="inlineStr">
        <is>
          <t>white_check_mark</t>
        </is>
      </c>
      <c r="J111" s="14" t="inlineStr">
        <is>
          <t>✅</t>
        </is>
      </c>
      <c r="K111" s="14" t="inlineStr">
        <is>
          <t>@dreimers</t>
        </is>
      </c>
      <c r="L111" s="14" t="inlineStr">
        <is>
          <t>@dreimers</t>
        </is>
      </c>
      <c r="M111" s="15" t="n">
        <v>46233.3384375</v>
      </c>
      <c r="N111" s="14" t="inlineStr">
        <is>
          <t>0 days 15 hrs</t>
        </is>
      </c>
    </row>
    <row r="112">
      <c r="A112" s="14" t="inlineStr">
        <is>
          <t>https://qualtrics.slack.com/archives/C02KP7NE6FP/p1785432694636599</t>
        </is>
      </c>
      <c r="B112" s="14" t="inlineStr">
        <is>
          <t>INV00023868</t>
        </is>
      </c>
      <c r="C112" s="14" t="n">
        <v>119104.88</v>
      </c>
      <c r="D112" s="14" t="inlineStr">
        <is>
          <t>Ariba</t>
        </is>
      </c>
      <c r="E112" s="14" t="n">
        <v>8200008551</v>
      </c>
      <c r="F112" s="14" t="n"/>
      <c r="G112" s="14" t="inlineStr">
        <is>
          <t>Fernando Anaya</t>
        </is>
      </c>
      <c r="H112" s="15" t="n">
        <v>46233.47881944444</v>
      </c>
      <c r="I112" s="14" t="inlineStr">
        <is>
          <t>white_check_mark</t>
        </is>
      </c>
      <c r="J112" s="14" t="inlineStr">
        <is>
          <t>✅</t>
        </is>
      </c>
      <c r="K112" s="14" t="inlineStr">
        <is>
          <t>@dreimers</t>
        </is>
      </c>
      <c r="L112" s="14" t="inlineStr">
        <is>
          <t>@dreimers</t>
        </is>
      </c>
      <c r="M112" s="15" t="n">
        <v>46233.56813657407</v>
      </c>
      <c r="N112" s="14" t="inlineStr">
        <is>
          <t>0 days 2 hrs</t>
        </is>
      </c>
    </row>
    <row r="113">
      <c r="A113" s="14" t="inlineStr">
        <is>
          <t>https://qualtrics.slack.com/archives/C02KP7NE6FP/p1785447448382999</t>
        </is>
      </c>
      <c r="B113" s="14" t="n"/>
      <c r="C113" s="14" t="n">
        <v>52109</v>
      </c>
      <c r="D113" s="14" t="inlineStr">
        <is>
          <t>https://service.ariba.com/Supplier.aw/ad/laDoc?sc=ZDZkNmRiMTEtZWYzYy00NzMxLWJkZjQtNjk4M2ZjM2E1MzAxOjEzMDAwMDAwMDAwMDAwMDAwMDA2Mjk5ODM2MDoxMw%3D%3D&amp;accttype=TElHSFQ%3D</t>
        </is>
      </c>
      <c r="E113" s="14" t="n">
        <v>5000450012</v>
      </c>
      <c r="F113" s="14" t="inlineStr">
        <is>
          <t>Hello team, Could you help me accept this PO on SAP Business Network? I attached the link and here is the ticket ZZ_B3B36764911C456C in case it is needed. Thanks in advance!</t>
        </is>
      </c>
      <c r="G113" s="14" t="inlineStr">
        <is>
          <t>Mario Cortés</t>
        </is>
      </c>
      <c r="H113" s="15" t="n">
        <v>46233.64915509259</v>
      </c>
      <c r="I113" s="14" t="inlineStr">
        <is>
          <t>white_check_mark</t>
        </is>
      </c>
      <c r="J113" s="14" t="inlineStr">
        <is>
          <t>✅</t>
        </is>
      </c>
      <c r="K113" s="14" t="inlineStr">
        <is>
          <t>@MarioCD</t>
        </is>
      </c>
      <c r="L113" s="14" t="inlineStr">
        <is>
          <t>@dreimers</t>
        </is>
      </c>
      <c r="M113" s="15" t="n">
        <v>46234.42414351852</v>
      </c>
      <c r="N113" s="14" t="inlineStr">
        <is>
          <t>0 days 18 hrs</t>
        </is>
      </c>
    </row>
    <row r="114">
      <c r="A114" s="14" t="inlineStr">
        <is>
          <t>https://qualtrics.slack.com/archives/C02KP7NE6FP/p1785450707878309</t>
        </is>
      </c>
      <c r="B114" s="14" t="n">
        <v>470461</v>
      </c>
      <c r="C114" s="14" t="n">
        <v>260173</v>
      </c>
      <c r="D114" s="14" t="inlineStr">
        <is>
          <t>Transcepta</t>
        </is>
      </c>
      <c r="E114" s="14" t="inlineStr">
        <is>
          <t>B002788050</t>
        </is>
      </c>
      <c r="F114" s="14" t="n"/>
      <c r="G114" s="14" t="inlineStr">
        <is>
          <t>Aity Sánchez Sandoval</t>
        </is>
      </c>
      <c r="H114" s="15" t="n">
        <v>46233.68688657408</v>
      </c>
      <c r="I114" s="14" t="inlineStr">
        <is>
          <t>white_check_mark</t>
        </is>
      </c>
      <c r="J114" s="14" t="inlineStr">
        <is>
          <t>✅</t>
        </is>
      </c>
      <c r="K114" s="14" t="inlineStr">
        <is>
          <t>@dreimers</t>
        </is>
      </c>
      <c r="L114" s="14" t="n"/>
      <c r="M114" s="15" t="n">
        <v>46234.4259837963</v>
      </c>
      <c r="N114" s="14" t="inlineStr">
        <is>
          <t>0 days 17 hrs</t>
        </is>
      </c>
    </row>
    <row r="115">
      <c r="A115" s="14" t="inlineStr">
        <is>
          <t>https://qualtrics.slack.com/archives/C02KP7NE6FP/p1785450754123269</t>
        </is>
      </c>
      <c r="B115" s="14" t="n">
        <v>465369</v>
      </c>
      <c r="C115" s="14" t="n">
        <v>2100</v>
      </c>
      <c r="D115" s="14" t="inlineStr">
        <is>
          <t>transcepta</t>
        </is>
      </c>
      <c r="E115" s="14" t="inlineStr">
        <is>
          <t>na</t>
        </is>
      </c>
      <c r="F115" s="14" t="n"/>
      <c r="G115" s="14" t="inlineStr">
        <is>
          <t>Aity Sánchez Sandoval</t>
        </is>
      </c>
      <c r="H115" s="15" t="n">
        <v>46233.68875</v>
      </c>
      <c r="I115" s="14" t="inlineStr">
        <is>
          <t>white_check_mark</t>
        </is>
      </c>
      <c r="J115" s="14" t="inlineStr">
        <is>
          <t>✅</t>
        </is>
      </c>
      <c r="K115" s="14" t="inlineStr">
        <is>
          <t>@dreimers</t>
        </is>
      </c>
      <c r="L115" s="14" t="inlineStr">
        <is>
          <t>@dreimers</t>
        </is>
      </c>
      <c r="M115" s="15" t="n">
        <v>46234.4265162037</v>
      </c>
      <c r="N115" s="14" t="inlineStr">
        <is>
          <t>0 days 17 hrs</t>
        </is>
      </c>
    </row>
    <row r="116">
      <c r="A116" s="14" t="inlineStr">
        <is>
          <t>https://qualtrics.slack.com/archives/C02KP7NE6FP/p1785507705065109</t>
        </is>
      </c>
      <c r="B116" s="14" t="n"/>
      <c r="C116" s="14" t="n">
        <v>45000</v>
      </c>
      <c r="D116" s="14" t="inlineStr">
        <is>
          <t>Ariba</t>
        </is>
      </c>
      <c r="E116" s="14" t="inlineStr">
        <is>
          <t>HPEPO524793</t>
        </is>
      </c>
      <c r="F116" s="14" t="inlineStr">
        <is>
          <t>Please upload into their Ariba system today to ensure we don't lose the deal.</t>
        </is>
      </c>
      <c r="G116" s="14" t="inlineStr">
        <is>
          <t>Vamshi Dacha</t>
        </is>
      </c>
      <c r="H116" s="15" t="n">
        <v>46234.34726851852</v>
      </c>
      <c r="I116" s="14" t="inlineStr">
        <is>
          <t>white_check_mark</t>
        </is>
      </c>
      <c r="J116" s="14" t="inlineStr">
        <is>
          <t>✅</t>
        </is>
      </c>
      <c r="K116" s="14" t="inlineStr">
        <is>
          <t>@dreimers</t>
        </is>
      </c>
      <c r="L116" s="14" t="inlineStr">
        <is>
          <t>@dreimers</t>
        </is>
      </c>
      <c r="M116" s="15" t="n">
        <v>46234.36974537037</v>
      </c>
      <c r="N116" s="14" t="inlineStr">
        <is>
          <t>0 days 0 hrs</t>
        </is>
      </c>
    </row>
    <row r="117">
      <c r="A117" s="14" t="inlineStr">
        <is>
          <t>https://qualtrics.slack.com/archives/C02KP7NE6FP/p1785521155856379</t>
        </is>
      </c>
      <c r="B117" s="14" t="inlineStr">
        <is>
          <t>INV00023786</t>
        </is>
      </c>
      <c r="C117" s="14" t="n">
        <v>80753</v>
      </c>
      <c r="D117" s="14" t="inlineStr">
        <is>
          <t>Taulia</t>
        </is>
      </c>
      <c r="E117" s="14" t="n">
        <v>5000155216</v>
      </c>
      <c r="F117" s="14" t="inlineStr">
        <is>
          <t>Hi team, could you please help me with this upload? Thanks!</t>
        </is>
      </c>
      <c r="G117" s="14" t="inlineStr">
        <is>
          <t>Daniela Gomez Viscaino</t>
        </is>
      </c>
      <c r="H117" s="15" t="n">
        <v>46234.50334490741</v>
      </c>
      <c r="I117" s="14" t="inlineStr">
        <is>
          <t>white_check_mark</t>
        </is>
      </c>
      <c r="J117" s="14" t="inlineStr">
        <is>
          <t>✅</t>
        </is>
      </c>
      <c r="K117" s="14" t="inlineStr">
        <is>
          <t>@dreimers</t>
        </is>
      </c>
      <c r="L117" s="14" t="inlineStr">
        <is>
          <t>@dreimers</t>
        </is>
      </c>
      <c r="M117" s="15" t="n">
        <v>46234.51201388889</v>
      </c>
      <c r="N117" s="14" t="inlineStr">
        <is>
          <t>0 days 0 hrs</t>
        </is>
      </c>
    </row>
    <row r="118">
      <c r="A118" s="14" t="inlineStr">
        <is>
          <t>https://qualtrics.slack.com/archives/C02KP7NE6FP/p1785521427474199</t>
        </is>
      </c>
      <c r="B118" s="14" t="inlineStr">
        <is>
          <t>INV00023795</t>
        </is>
      </c>
      <c r="C118" s="14" t="n">
        <v>175000</v>
      </c>
      <c r="D118" s="14" t="inlineStr">
        <is>
          <t>Ariba</t>
        </is>
      </c>
      <c r="E118" s="14" t="n">
        <v>4800002287</v>
      </c>
      <c r="F118" s="14" t="n"/>
      <c r="G118" s="14" t="inlineStr">
        <is>
          <t>Daniela Gomez Viscaino</t>
        </is>
      </c>
      <c r="H118" s="15" t="n">
        <v>46234.50680555555</v>
      </c>
      <c r="I118" s="14" t="inlineStr">
        <is>
          <t>white_check_mark</t>
        </is>
      </c>
      <c r="J118" s="14" t="inlineStr">
        <is>
          <t>✅</t>
        </is>
      </c>
      <c r="K118" s="14" t="inlineStr">
        <is>
          <t>@dreimers</t>
        </is>
      </c>
      <c r="L118" s="14" t="inlineStr">
        <is>
          <t>@dreimers</t>
        </is>
      </c>
      <c r="M118" s="15" t="n">
        <v>46234.51248842593</v>
      </c>
      <c r="N118" s="14" t="inlineStr">
        <is>
          <t>0 days 0 hrs</t>
        </is>
      </c>
    </row>
    <row r="119">
      <c r="A119" s="14" t="inlineStr">
        <is>
          <t>https://qualtrics.slack.com/archives/C02KP7NE6FP/p1785525864266039</t>
        </is>
      </c>
      <c r="B119" s="14" t="inlineStr">
        <is>
          <t>INV00024825</t>
        </is>
      </c>
      <c r="C119" s="14" t="n">
        <v>1900</v>
      </c>
      <c r="D119" s="14" t="inlineStr">
        <is>
          <t>Ariba</t>
        </is>
      </c>
      <c r="E119" s="14" t="n">
        <v>4100836220</v>
      </c>
      <c r="F119" s="14" t="inlineStr">
        <is>
          <t>Google invoice</t>
        </is>
      </c>
      <c r="G119" s="14" t="inlineStr">
        <is>
          <t>Cindy Espinola</t>
        </is>
      </c>
      <c r="H119" s="15" t="n">
        <v>46234.55799768519</v>
      </c>
      <c r="I119" s="14" t="inlineStr">
        <is>
          <t>white_check_mark</t>
        </is>
      </c>
      <c r="J119" s="14" t="inlineStr">
        <is>
          <t>✅</t>
        </is>
      </c>
      <c r="K119" s="14" t="inlineStr">
        <is>
          <t>@dreimers</t>
        </is>
      </c>
      <c r="L119" s="14" t="inlineStr">
        <is>
          <t>@dreimers</t>
        </is>
      </c>
      <c r="M119" s="15" t="n">
        <v>46234.58166666667</v>
      </c>
      <c r="N119" s="14" t="inlineStr">
        <is>
          <t>0 days 0 hrs</t>
        </is>
      </c>
    </row>
    <row r="120">
      <c r="A120" s="14" t="inlineStr">
        <is>
          <t>https://qualtrics.slack.com/archives/C02KP7NE6FP/p1785526247698419</t>
        </is>
      </c>
      <c r="B120" s="14" t="inlineStr">
        <is>
          <t>INV00024822</t>
        </is>
      </c>
      <c r="C120" s="14" t="n">
        <v>14525</v>
      </c>
      <c r="D120" s="14" t="inlineStr">
        <is>
          <t>ariba</t>
        </is>
      </c>
      <c r="E120" s="14" t="n">
        <v>4100833585</v>
      </c>
      <c r="F120" s="14" t="inlineStr">
        <is>
          <t>Google Invoice</t>
        </is>
      </c>
      <c r="G120" s="14" t="inlineStr">
        <is>
          <t>Cindy Espinola</t>
        </is>
      </c>
      <c r="H120" s="15" t="n">
        <v>46234.56266203704</v>
      </c>
      <c r="I120" s="14" t="inlineStr">
        <is>
          <t>white_check_mark</t>
        </is>
      </c>
      <c r="J120" s="14" t="inlineStr">
        <is>
          <t>✅</t>
        </is>
      </c>
      <c r="K120" s="14" t="inlineStr">
        <is>
          <t>@dreimers</t>
        </is>
      </c>
      <c r="L120" s="14" t="inlineStr">
        <is>
          <t>@dreimers</t>
        </is>
      </c>
      <c r="M120" s="15" t="n">
        <v>46234.58244212963</v>
      </c>
      <c r="N120" s="14" t="inlineStr">
        <is>
          <t>0 days 0 hrs</t>
        </is>
      </c>
    </row>
    <row r="121">
      <c r="A121" s="14" t="inlineStr">
        <is>
          <t>https://qualtrics.slack.com/archives/C02KP7NE6FP/p1785526698411109</t>
        </is>
      </c>
      <c r="B121" s="14" t="inlineStr">
        <is>
          <t>INV00024823</t>
        </is>
      </c>
      <c r="C121" s="14" t="n">
        <v>16700</v>
      </c>
      <c r="D121" s="14" t="inlineStr">
        <is>
          <t>Ariba</t>
        </is>
      </c>
      <c r="E121" s="14" t="n">
        <v>4100826992</v>
      </c>
      <c r="F121" s="14" t="inlineStr">
        <is>
          <t>Google invoice</t>
        </is>
      </c>
      <c r="G121" s="14" t="inlineStr">
        <is>
          <t>Cindy Espinola</t>
        </is>
      </c>
      <c r="H121" s="15" t="n">
        <v>46234.56790509259</v>
      </c>
      <c r="I121" s="14" t="inlineStr">
        <is>
          <t>white_check_mark</t>
        </is>
      </c>
      <c r="J121" s="14" t="inlineStr">
        <is>
          <t>✅</t>
        </is>
      </c>
      <c r="K121" s="14" t="inlineStr">
        <is>
          <t>@dreimers</t>
        </is>
      </c>
      <c r="L121" s="14" t="inlineStr">
        <is>
          <t>@dreimers</t>
        </is>
      </c>
      <c r="M121" s="15" t="n">
        <v>46234.58293981481</v>
      </c>
      <c r="N121" s="14" t="inlineStr">
        <is>
          <t>0 days 0 hrs</t>
        </is>
      </c>
    </row>
    <row r="122">
      <c r="A122" s="14" t="inlineStr">
        <is>
          <t>https://qualtrics.slack.com/archives/C02KP7NE6FP/p1785527519855349</t>
        </is>
      </c>
      <c r="B122" s="14" t="inlineStr">
        <is>
          <t>INV00024709</t>
        </is>
      </c>
      <c r="C122" s="14" t="n">
        <v>50000</v>
      </c>
      <c r="D122" s="14" t="inlineStr">
        <is>
          <t>ARIBA</t>
        </is>
      </c>
      <c r="E122" s="14" t="n">
        <v>4800046135</v>
      </c>
      <c r="F122" s="14" t="n"/>
      <c r="G122" s="14" t="inlineStr">
        <is>
          <t>Andrea Juarez</t>
        </is>
      </c>
      <c r="H122" s="15" t="n">
        <v>46234.5775462963</v>
      </c>
      <c r="I122" s="14" t="inlineStr">
        <is>
          <t>white_check_mark</t>
        </is>
      </c>
      <c r="J122" s="14" t="inlineStr">
        <is>
          <t>✅</t>
        </is>
      </c>
      <c r="K122" s="14" t="inlineStr">
        <is>
          <t>@dreimers</t>
        </is>
      </c>
      <c r="L122" s="14" t="inlineStr">
        <is>
          <t>@dreimers</t>
        </is>
      </c>
      <c r="M122" s="15" t="n">
        <v>46234.58412037037</v>
      </c>
      <c r="N122" s="14" t="inlineStr">
        <is>
          <t>0 days 0 hrs</t>
        </is>
      </c>
    </row>
    <row r="123">
      <c r="A123" s="14" t="inlineStr">
        <is>
          <t>https://qualtrics.slack.com/archives/C02KP7NE6FP/p1785776863903999</t>
        </is>
      </c>
      <c r="B123" s="14" t="n">
        <v>398434</v>
      </c>
      <c r="C123" s="14" t="n">
        <v>1890</v>
      </c>
      <c r="D123" s="14" t="inlineStr">
        <is>
          <t>https://procurementosa.powerappsportals.com/en-US/</t>
        </is>
      </c>
      <c r="E123" s="14" t="inlineStr">
        <is>
          <t>none</t>
        </is>
      </c>
      <c r="F123" s="14" t="n"/>
      <c r="G123" s="14" t="inlineStr">
        <is>
          <t>Nathan Smith</t>
        </is>
      </c>
      <c r="H123" s="15" t="n">
        <v>46237.4615625</v>
      </c>
      <c r="I123" s="14" t="inlineStr">
        <is>
          <t>white_check_mark</t>
        </is>
      </c>
      <c r="J123" s="14" t="inlineStr">
        <is>
          <t>✅</t>
        </is>
      </c>
      <c r="K123" s="14" t="inlineStr">
        <is>
          <t>@dreimers</t>
        </is>
      </c>
      <c r="L123" s="14" t="inlineStr">
        <is>
          <t>@dreimers</t>
        </is>
      </c>
      <c r="M123" s="15" t="n">
        <v>46245.38563657407</v>
      </c>
      <c r="N123" s="14" t="inlineStr">
        <is>
          <t>7 days 22 hrs</t>
        </is>
      </c>
    </row>
    <row r="124">
      <c r="A124" s="14" t="inlineStr">
        <is>
          <t>https://qualtrics.slack.com/archives/C02KP7NE6FP/p1785776903364719</t>
        </is>
      </c>
      <c r="B124" s="14" t="n">
        <v>434853</v>
      </c>
      <c r="C124" s="14" t="n">
        <v>1984.5</v>
      </c>
      <c r="D124" s="14" t="inlineStr">
        <is>
          <t>https://procurementosa.powerappsportals.com/en-US/</t>
        </is>
      </c>
      <c r="E124" s="14" t="inlineStr">
        <is>
          <t>none</t>
        </is>
      </c>
      <c r="F124" s="14" t="n"/>
      <c r="G124" s="14" t="inlineStr">
        <is>
          <t>Nathan Smith</t>
        </is>
      </c>
      <c r="H124" s="15" t="n">
        <v>46237.46380787037</v>
      </c>
      <c r="I124" s="14" t="inlineStr">
        <is>
          <t>white_check_mark</t>
        </is>
      </c>
      <c r="J124" s="14" t="inlineStr">
        <is>
          <t>✅</t>
        </is>
      </c>
      <c r="K124" s="14" t="inlineStr">
        <is>
          <t>@dreimers</t>
        </is>
      </c>
      <c r="L124" s="14" t="inlineStr">
        <is>
          <t>@dreimers</t>
        </is>
      </c>
      <c r="M124" s="15" t="n">
        <v>46245.38638888889</v>
      </c>
      <c r="N124" s="14" t="inlineStr">
        <is>
          <t>7 days 22 hrs</t>
        </is>
      </c>
    </row>
    <row r="125">
      <c r="A125" s="14" t="inlineStr">
        <is>
          <t>https://qualtrics.slack.com/archives/C02KP7NE6FP/p1785863907314649</t>
        </is>
      </c>
      <c r="B125" s="14" t="inlineStr">
        <is>
          <t>INV00023868</t>
        </is>
      </c>
      <c r="C125" s="14" t="n">
        <v>119104.88</v>
      </c>
      <c r="D125" s="14" t="inlineStr">
        <is>
          <t>Ariba</t>
        </is>
      </c>
      <c r="E125" s="14" t="n">
        <v>8200008551</v>
      </c>
      <c r="F125" s="14" t="n"/>
      <c r="G125" s="14" t="inlineStr">
        <is>
          <t>Fernando Anaya</t>
        </is>
      </c>
      <c r="H125" s="15" t="n">
        <v>46238.47074074074</v>
      </c>
      <c r="I125" s="14" t="inlineStr">
        <is>
          <t>white_check_mark</t>
        </is>
      </c>
      <c r="J125" s="14" t="inlineStr">
        <is>
          <t>✅</t>
        </is>
      </c>
      <c r="K125" s="14" t="inlineStr">
        <is>
          <t>@dreimers</t>
        </is>
      </c>
      <c r="L125" s="14" t="inlineStr">
        <is>
          <t>@dreimers</t>
        </is>
      </c>
      <c r="M125" s="15" t="n">
        <v>46238.50366898148</v>
      </c>
      <c r="N125" s="14" t="inlineStr">
        <is>
          <t>0 days 0 hrs</t>
        </is>
      </c>
    </row>
    <row r="126">
      <c r="A126" s="14" t="inlineStr">
        <is>
          <t>https://qualtrics.slack.com/archives/C02KP7NE6FP/p1785865794925029</t>
        </is>
      </c>
      <c r="B126" s="14" t="inlineStr">
        <is>
          <t>INV00022989</t>
        </is>
      </c>
      <c r="C126" s="14" t="n">
        <v>18250</v>
      </c>
      <c r="D126" s="14" t="inlineStr">
        <is>
          <t>Coupa</t>
        </is>
      </c>
      <c r="E126" s="14" t="inlineStr">
        <is>
          <t>ON00718119</t>
        </is>
      </c>
      <c r="F126" s="14" t="n"/>
      <c r="G126" s="14" t="inlineStr">
        <is>
          <t>Fernando Anaya</t>
        </is>
      </c>
      <c r="H126" s="15" t="n">
        <v>46238.49252314815</v>
      </c>
      <c r="I126" s="14" t="inlineStr">
        <is>
          <t>white_check_mark</t>
        </is>
      </c>
      <c r="J126" s="14" t="inlineStr">
        <is>
          <t>✅</t>
        </is>
      </c>
      <c r="K126" s="14" t="inlineStr">
        <is>
          <t>@dreimers</t>
        </is>
      </c>
      <c r="L126" s="14" t="inlineStr">
        <is>
          <t>@dreimers</t>
        </is>
      </c>
      <c r="M126" s="15" t="n">
        <v>46238.50547453704</v>
      </c>
      <c r="N126" s="14" t="inlineStr">
        <is>
          <t>0 days 0 hrs</t>
        </is>
      </c>
    </row>
    <row r="127">
      <c r="A127" s="14" t="inlineStr">
        <is>
          <t>https://qualtrics.slack.com/archives/C02KP7NE6FP/p1785871717120779</t>
        </is>
      </c>
      <c r="B127" s="14" t="inlineStr">
        <is>
          <t>INV00025400</t>
        </is>
      </c>
      <c r="C127" s="14" t="n">
        <v>36820</v>
      </c>
      <c r="D127" s="14" t="inlineStr">
        <is>
          <t>Ariba</t>
        </is>
      </c>
      <c r="E127" s="14" t="n">
        <v>3502658257</v>
      </c>
      <c r="F127" s="14" t="n"/>
      <c r="G127" s="14" t="inlineStr">
        <is>
          <t>Diego Cué Vázquez</t>
        </is>
      </c>
      <c r="H127" s="15" t="n">
        <v>46238.55826388889</v>
      </c>
      <c r="I127" s="14" t="inlineStr">
        <is>
          <t>white_check_mark</t>
        </is>
      </c>
      <c r="J127" s="14" t="inlineStr">
        <is>
          <t>✅</t>
        </is>
      </c>
      <c r="K127" s="14" t="inlineStr">
        <is>
          <t>@dreimers</t>
        </is>
      </c>
      <c r="L127" s="14" t="inlineStr">
        <is>
          <t>@dreimers</t>
        </is>
      </c>
      <c r="M127" s="15" t="n">
        <v>46238.58211805556</v>
      </c>
      <c r="N127" s="14" t="inlineStr">
        <is>
          <t>0 days 0 hrs</t>
        </is>
      </c>
    </row>
    <row r="128">
      <c r="A128" s="14" t="inlineStr">
        <is>
          <t>https://qualtrics.slack.com/archives/C02KP7NE6FP/p1785877515938009</t>
        </is>
      </c>
      <c r="B128" s="14" t="n">
        <v>468617</v>
      </c>
      <c r="C128" s="14" t="n">
        <v>122120.18</v>
      </c>
      <c r="D128" s="14" t="inlineStr">
        <is>
          <t>Ariba</t>
        </is>
      </c>
      <c r="E128" s="14" t="n">
        <v>4700172005</v>
      </c>
      <c r="F128" s="14" t="inlineStr">
        <is>
          <t>Hi team! This invoice was submited to the portal but rejected because it was wrongly submitted. Please submit the invoice to the portal, but update the Sales Tax Type to the correct option, "US Ship to Addresses." Thanks in advance!</t>
        </is>
      </c>
      <c r="G128" s="14" t="inlineStr">
        <is>
          <t>Maria Granja</t>
        </is>
      </c>
      <c r="H128" s="15" t="n">
        <v>46238.62664351852</v>
      </c>
      <c r="I128" s="14" t="inlineStr">
        <is>
          <t>white_check_mark</t>
        </is>
      </c>
      <c r="J128" s="14" t="inlineStr">
        <is>
          <t>✅</t>
        </is>
      </c>
      <c r="K128" s="14" t="inlineStr">
        <is>
          <t>@dreimers</t>
        </is>
      </c>
      <c r="L128" s="14" t="inlineStr">
        <is>
          <t>@dreimers</t>
        </is>
      </c>
      <c r="M128" s="15" t="n">
        <v>46245.38673611111</v>
      </c>
      <c r="N128" s="14" t="inlineStr">
        <is>
          <t>6 days 18 hrs</t>
        </is>
      </c>
    </row>
    <row r="129">
      <c r="A129" s="14" t="inlineStr">
        <is>
          <t>https://qualtrics.slack.com/archives/C02KP7NE6FP/p1785903985327239</t>
        </is>
      </c>
      <c r="B129" s="14" t="n"/>
      <c r="C129" s="14" t="n">
        <v>15000</v>
      </c>
      <c r="D129" s="14" t="inlineStr">
        <is>
          <t>https://service.ariba.com/Supplier.aw/ad/laDoc?sc=MDMxMzQwMjktMjVmMy00MDFhLWI2MzUtNGQ1YzE3YmU4ZWJlOjEzMDAwMDAwMDAwMDAwMDAwMDA2MzAxMjQ3MToxMw%3D%3D&amp;accttype=TElHSFQ%3D</t>
        </is>
      </c>
      <c r="E129" s="14" t="n">
        <v>4200453735</v>
      </c>
      <c r="F129" s="14" t="inlineStr">
        <is>
          <t>Hello team, Could you help me process this PO? I shared the link but here is also the ticket in case you need it: ZZ_D4C7BCD2BD1A45D8. Thanks in advance!</t>
        </is>
      </c>
      <c r="G129" s="14" t="inlineStr">
        <is>
          <t>Mario Cortés</t>
        </is>
      </c>
      <c r="H129" s="15" t="n">
        <v>46238.93368055556</v>
      </c>
      <c r="I129" s="14" t="inlineStr">
        <is>
          <t>white_check_mark</t>
        </is>
      </c>
      <c r="J129" s="14" t="inlineStr">
        <is>
          <t>✅</t>
        </is>
      </c>
      <c r="K129" s="14" t="inlineStr">
        <is>
          <t>@dreimers</t>
        </is>
      </c>
      <c r="L129" s="14" t="inlineStr">
        <is>
          <t>@dreimers</t>
        </is>
      </c>
      <c r="M129" s="15" t="n">
        <v>46239.45921296296</v>
      </c>
      <c r="N129" s="14" t="inlineStr">
        <is>
          <t>0 days 12 hrs</t>
        </is>
      </c>
    </row>
    <row r="130">
      <c r="A130" s="14" t="inlineStr">
        <is>
          <t>https://qualtrics.slack.com/archives/C02KP7NE6FP/p1785949955808429</t>
        </is>
      </c>
      <c r="B130" s="14" t="inlineStr">
        <is>
          <t>INV00024404</t>
        </is>
      </c>
      <c r="C130" s="14" t="inlineStr">
        <is>
          <t>45,000.00 USD</t>
        </is>
      </c>
      <c r="D130" s="14" t="inlineStr">
        <is>
          <t>Ariba</t>
        </is>
      </c>
      <c r="E130" s="14" t="inlineStr">
        <is>
          <t>HPEPO524793</t>
        </is>
      </c>
      <c r="F130" s="14" t="inlineStr">
        <is>
          <t>Hi team, please resubmit this invoice under customer portal "Hewlett Packard Enterprise Company (HPE).CL" in Ariba.</t>
        </is>
      </c>
      <c r="G130" s="14" t="inlineStr">
        <is>
          <t>Abril Marmolejo Portillo</t>
        </is>
      </c>
      <c r="H130" s="15" t="n">
        <v>46239.46561342593</v>
      </c>
      <c r="I130" s="14" t="inlineStr">
        <is>
          <t>white_check_mark</t>
        </is>
      </c>
      <c r="J130" s="14" t="inlineStr">
        <is>
          <t>✅</t>
        </is>
      </c>
      <c r="K130" s="14" t="inlineStr">
        <is>
          <t>@dreimers</t>
        </is>
      </c>
      <c r="L130" s="14" t="inlineStr">
        <is>
          <t>@dreimers</t>
        </is>
      </c>
      <c r="M130" s="15" t="n">
        <v>46239.47231481481</v>
      </c>
      <c r="N130" s="14" t="inlineStr">
        <is>
          <t>0 days 0 hrs</t>
        </is>
      </c>
    </row>
    <row r="131">
      <c r="A131" s="14" t="inlineStr">
        <is>
          <t>https://qualtrics.slack.com/archives/C02KP7NE6FP/p1786029537921199</t>
        </is>
      </c>
      <c r="B131" s="14" t="inlineStr">
        <is>
          <t>INV00022895</t>
        </is>
      </c>
      <c r="C131" s="14" t="n">
        <v>17500</v>
      </c>
      <c r="D131" s="14" t="inlineStr">
        <is>
          <t>Coupa</t>
        </is>
      </c>
      <c r="E131" s="14" t="n">
        <v>1040596752</v>
      </c>
      <c r="F131" s="14" t="n"/>
      <c r="G131" s="14" t="inlineStr">
        <is>
          <t>Fernando Anaya</t>
        </is>
      </c>
      <c r="H131" s="15" t="n">
        <v>46240.3875</v>
      </c>
      <c r="I131" s="14" t="inlineStr">
        <is>
          <t>white_check_mark</t>
        </is>
      </c>
      <c r="J131" s="14" t="inlineStr">
        <is>
          <t>✅</t>
        </is>
      </c>
      <c r="K131" s="14" t="inlineStr">
        <is>
          <t>@dreimers</t>
        </is>
      </c>
      <c r="L131" s="14" t="inlineStr">
        <is>
          <t>@dreimers</t>
        </is>
      </c>
      <c r="M131" s="15" t="n">
        <v>46240.38952546296</v>
      </c>
      <c r="N131" s="14" t="inlineStr">
        <is>
          <t>0 days 0 hrs</t>
        </is>
      </c>
    </row>
    <row r="132">
      <c r="A132" s="14" t="inlineStr">
        <is>
          <t>https://qualtrics.slack.com/archives/C02KP7NE6FP/p1786133517576069</t>
        </is>
      </c>
      <c r="B132" s="14" t="n">
        <v>471590</v>
      </c>
      <c r="C132" s="14" t="n">
        <v>6880</v>
      </c>
      <c r="D132" s="14" t="inlineStr">
        <is>
          <t>Oracle</t>
        </is>
      </c>
      <c r="E132" s="14" t="inlineStr">
        <is>
          <t>FY26/40004595</t>
        </is>
      </c>
      <c r="F132" s="14" t="inlineStr">
        <is>
          <t>Invoices must be uploaded through Oracle - AMiron Oracle Fusion Login: https://login-iabiey.fa.ocs.oraclecloud.com  Username: 4440 Password: 4440Sharjah@2025</t>
        </is>
      </c>
      <c r="G132" s="14" t="inlineStr">
        <is>
          <t>Paulina Paredes Fernández Turueño</t>
        </is>
      </c>
      <c r="H132" s="15" t="n">
        <v>46241.59113425926</v>
      </c>
      <c r="I132" s="14" t="inlineStr">
        <is>
          <t>white_check_mark</t>
        </is>
      </c>
      <c r="J132" s="14" t="inlineStr">
        <is>
          <t>✅</t>
        </is>
      </c>
      <c r="K132" s="14" t="inlineStr">
        <is>
          <t>@dreimers</t>
        </is>
      </c>
      <c r="L132" s="14" t="inlineStr">
        <is>
          <t>@dreimers</t>
        </is>
      </c>
      <c r="M132" s="15" t="n">
        <v>46245.38721064815</v>
      </c>
      <c r="N132" s="14" t="inlineStr">
        <is>
          <t>3 days 19 hrs</t>
        </is>
      </c>
    </row>
    <row r="133">
      <c r="A133" s="14" t="inlineStr">
        <is>
          <t>https://qualtrics.slack.com/archives/C02KP7NE6FP/p1786466793859759</t>
        </is>
      </c>
      <c r="B133" s="14" t="inlineStr">
        <is>
          <t>INV00021780</t>
        </is>
      </c>
      <c r="C133" s="14" t="n">
        <v>22525</v>
      </c>
      <c r="D133" s="14" t="inlineStr">
        <is>
          <t>Coupa</t>
        </is>
      </c>
      <c r="E133" s="14" t="inlineStr">
        <is>
          <t>ES00055876</t>
        </is>
      </c>
      <c r="F133" s="14" t="inlineStr">
        <is>
          <t>Please use the email and password from the image</t>
        </is>
      </c>
      <c r="G133" s="14" t="inlineStr">
        <is>
          <t>Fernando Anaya</t>
        </is>
      </c>
      <c r="H133" s="15" t="n">
        <v>46245.4477662037</v>
      </c>
      <c r="I133" s="14" t="inlineStr">
        <is>
          <t>white_check_mark</t>
        </is>
      </c>
      <c r="J133" s="14" t="inlineStr">
        <is>
          <t>✅</t>
        </is>
      </c>
      <c r="K133" s="14" t="inlineStr">
        <is>
          <t>@dreimers</t>
        </is>
      </c>
      <c r="L133" s="14" t="inlineStr">
        <is>
          <t>@dreimers</t>
        </is>
      </c>
      <c r="M133" s="15" t="n">
        <v>46245.48166666667</v>
      </c>
      <c r="N133" s="14" t="inlineStr">
        <is>
          <t>0 days 0 hrs</t>
        </is>
      </c>
    </row>
    <row r="134">
      <c r="A134" s="14" t="inlineStr">
        <is>
          <t>https://qualtrics.slack.com/archives/C02KP7NE6FP/p1786468383265639</t>
        </is>
      </c>
      <c r="B134" s="14" t="inlineStr">
        <is>
          <t>Best Buy MR Invoice</t>
        </is>
      </c>
      <c r="C134" s="14" t="inlineStr">
        <is>
          <t>$272,00</t>
        </is>
      </c>
      <c r="D134" s="14" t="inlineStr">
        <is>
          <t>SAP Ariba</t>
        </is>
      </c>
      <c r="E134" s="14" t="inlineStr">
        <is>
          <t>TBD</t>
        </is>
      </c>
      <c r="F134" s="14" t="inlineStr">
        <is>
          <t>Need help on the registration for SAP Ariba portal for Best Buy</t>
        </is>
      </c>
      <c r="G134" s="14" t="inlineStr">
        <is>
          <t>Dan Deming</t>
        </is>
      </c>
      <c r="H134" s="15" t="n">
        <v>46245.46525462963</v>
      </c>
      <c r="I134" s="14" t="inlineStr">
        <is>
          <t>white_check_mark</t>
        </is>
      </c>
      <c r="J134" s="14" t="inlineStr">
        <is>
          <t>✅</t>
        </is>
      </c>
      <c r="K134" s="14" t="inlineStr">
        <is>
          <t>@dreimers</t>
        </is>
      </c>
      <c r="L134" s="14" t="inlineStr">
        <is>
          <t>@dreimers</t>
        </is>
      </c>
      <c r="M134" s="15" t="n">
        <v>46246.60392361111</v>
      </c>
      <c r="N134" s="14" t="inlineStr">
        <is>
          <t>1 days 3 hrs</t>
        </is>
      </c>
    </row>
    <row r="135">
      <c r="A135" s="14" t="inlineStr">
        <is>
          <t>https://qualtrics.slack.com/archives/C02KP7NE6FP/p1786562291788919</t>
        </is>
      </c>
      <c r="B135" s="14" t="inlineStr">
        <is>
          <t>INV00025297</t>
        </is>
      </c>
      <c r="C135" s="14" t="n">
        <v>356646.36</v>
      </c>
      <c r="D135" s="14" t="inlineStr">
        <is>
          <t>COUPA</t>
        </is>
      </c>
      <c r="E135" s="14" t="inlineStr">
        <is>
          <t>CO214789</t>
        </is>
      </c>
      <c r="F135" s="14" t="n"/>
      <c r="G135" s="14" t="inlineStr">
        <is>
          <t>Andrea Juarez</t>
        </is>
      </c>
      <c r="H135" s="15" t="n">
        <v>46246.55400462963</v>
      </c>
      <c r="I135" s="14" t="inlineStr">
        <is>
          <t>white_check_mark</t>
        </is>
      </c>
      <c r="J135" s="14" t="inlineStr">
        <is>
          <t>✅</t>
        </is>
      </c>
      <c r="K135" s="14" t="inlineStr">
        <is>
          <t>@dreimers</t>
        </is>
      </c>
      <c r="L135" s="14" t="inlineStr">
        <is>
          <t>@dreimers</t>
        </is>
      </c>
      <c r="M135" s="15" t="n">
        <v>46246.60730324074</v>
      </c>
      <c r="N135" s="14" t="inlineStr">
        <is>
          <t>0 days 1 hrs</t>
        </is>
      </c>
    </row>
    <row r="136">
      <c r="A136" s="14" t="inlineStr">
        <is>
          <t>https://qualtrics.slack.com/archives/C02KP7NE6FP/p1786562401955989</t>
        </is>
      </c>
      <c r="B136" s="14" t="inlineStr">
        <is>
          <t>INV00025767</t>
        </is>
      </c>
      <c r="C136" s="14" t="n">
        <v>676604.26</v>
      </c>
      <c r="D136" s="14" t="inlineStr">
        <is>
          <t>ARIBA</t>
        </is>
      </c>
      <c r="E136" s="14" t="n">
        <v>3927</v>
      </c>
      <c r="F136" s="14" t="n"/>
      <c r="G136" s="14" t="inlineStr">
        <is>
          <t>Andrea Juarez</t>
        </is>
      </c>
      <c r="H136" s="15" t="n">
        <v>46246.55527777778</v>
      </c>
      <c r="I136" s="14" t="inlineStr">
        <is>
          <t>white_check_mark</t>
        </is>
      </c>
      <c r="J136" s="14" t="inlineStr">
        <is>
          <t>✅</t>
        </is>
      </c>
      <c r="K136" s="14" t="inlineStr">
        <is>
          <t>@dreimers</t>
        </is>
      </c>
      <c r="L136" s="14" t="inlineStr">
        <is>
          <t>@dreimers</t>
        </is>
      </c>
      <c r="M136" s="15" t="n">
        <v>46246.61056712963</v>
      </c>
      <c r="N136" s="14" t="inlineStr">
        <is>
          <t>0 days 1 hrs</t>
        </is>
      </c>
    </row>
    <row r="137">
      <c r="A137" s="14" t="inlineStr">
        <is>
          <t>https://qualtrics.slack.com/archives/C02KP7NE6FP/p1786635928477069</t>
        </is>
      </c>
      <c r="B137" s="14" t="inlineStr">
        <is>
          <t>INV00025534</t>
        </is>
      </c>
      <c r="C137" s="14" t="n">
        <v>9500</v>
      </c>
      <c r="D137" s="14" t="inlineStr">
        <is>
          <t>https://supplier.coupahost.com/orders/1426819?instance_url=https%3A%2F%2Fsteelcase.coupahost.com%2F&amp;supplier_id=4965&amp;</t>
        </is>
      </c>
      <c r="E137" s="14" t="n">
        <v>3701426819</v>
      </c>
      <c r="F137" s="14" t="inlineStr">
        <is>
          <t>Hello team, the customer added a coment on Coupa. Just wanted to bring to your attention in case something needs to be done. Here is the ticket ZZ_95D5CA60567440FC as well for additional context. Thanks in advance!</t>
        </is>
      </c>
      <c r="G137" s="14" t="inlineStr">
        <is>
          <t>Mario Cortés</t>
        </is>
      </c>
      <c r="H137" s="15" t="n">
        <v>46247.40533564815</v>
      </c>
      <c r="I137" s="14" t="inlineStr">
        <is>
          <t>white_check_mark</t>
        </is>
      </c>
      <c r="J137" s="14" t="inlineStr">
        <is>
          <t>✅</t>
        </is>
      </c>
      <c r="K137" s="14" t="inlineStr">
        <is>
          <t>@aprilj</t>
        </is>
      </c>
      <c r="L137" s="14" t="inlineStr">
        <is>
          <t>@aprilj</t>
        </is>
      </c>
      <c r="M137" s="15" t="n">
        <v>46247.41260416667</v>
      </c>
      <c r="N137" s="14" t="inlineStr">
        <is>
          <t>0 days 0 hrs</t>
        </is>
      </c>
    </row>
    <row r="138">
      <c r="A138" s="14" t="inlineStr">
        <is>
          <t>https://qualtrics.slack.com/archives/C02KP7NE6FP/p1786640147458679</t>
        </is>
      </c>
      <c r="B138" s="14" t="inlineStr">
        <is>
          <t>INV00026113</t>
        </is>
      </c>
      <c r="C138" s="14" t="n">
        <v>580000</v>
      </c>
      <c r="D138" s="14" t="inlineStr">
        <is>
          <t>Ariba</t>
        </is>
      </c>
      <c r="E138" s="14" t="inlineStr">
        <is>
          <t>BPO41953</t>
        </is>
      </c>
      <c r="F138" s="14" t="n"/>
      <c r="G138" s="14" t="inlineStr">
        <is>
          <t>Cindy Espinola</t>
        </is>
      </c>
      <c r="H138" s="15" t="n">
        <v>46247.45466435186</v>
      </c>
      <c r="I138" s="14" t="inlineStr">
        <is>
          <t>white_check_mark</t>
        </is>
      </c>
      <c r="J138" s="14" t="inlineStr">
        <is>
          <t>✅</t>
        </is>
      </c>
      <c r="K138" s="14" t="inlineStr">
        <is>
          <t>@aprilj</t>
        </is>
      </c>
      <c r="L138" s="14" t="inlineStr">
        <is>
          <t>@aprilj</t>
        </is>
      </c>
      <c r="M138" s="15" t="n">
        <v>46247.55512731482</v>
      </c>
      <c r="N138" s="14" t="inlineStr">
        <is>
          <t>0 days 2 hrs</t>
        </is>
      </c>
    </row>
    <row r="139">
      <c r="A139" s="14" t="inlineStr">
        <is>
          <t>https://qualtrics.slack.com/archives/C02KP7NE6FP/p1786651532676229</t>
        </is>
      </c>
      <c r="B139" s="14" t="n">
        <v>466580</v>
      </c>
      <c r="C139" s="14" t="n">
        <v>5198.48</v>
      </c>
      <c r="D139" s="14" t="inlineStr">
        <is>
          <t>www.vendors.gov.sg</t>
        </is>
      </c>
      <c r="E139" s="14" t="inlineStr">
        <is>
          <t>MHASCD06000252689</t>
        </is>
      </c>
      <c r="F139" s="14" t="inlineStr">
        <is>
          <t>Hello team, could you help me upload the invoice with the attached PO? The customer had initially submitted the PO to Qualtrics account Y286982. As advised by the Portal Team, we requested that the customer reissue the PO to Qualtrics' main account (Y159850). Thanks in advance! For ASA purposes: ZZ_229246BA45E1432E</t>
        </is>
      </c>
      <c r="G139" s="14" t="inlineStr">
        <is>
          <t>Mario Cortés</t>
        </is>
      </c>
      <c r="H139" s="15" t="n">
        <v>46247.58409722222</v>
      </c>
      <c r="I139" s="14" t="inlineStr">
        <is>
          <t>white_check_mark</t>
        </is>
      </c>
      <c r="J139" s="14" t="inlineStr">
        <is>
          <t>✅</t>
        </is>
      </c>
      <c r="K139" s="14" t="inlineStr">
        <is>
          <t>@dreimers</t>
        </is>
      </c>
      <c r="L139" s="14" t="inlineStr">
        <is>
          <t>@dreimers</t>
        </is>
      </c>
      <c r="M139" s="15" t="n">
        <v>46266.73827546297</v>
      </c>
      <c r="N139" s="14" t="inlineStr">
        <is>
          <t>19 days 3 hrs</t>
        </is>
      </c>
    </row>
    <row r="140">
      <c r="A140" s="14" t="inlineStr">
        <is>
          <t>https://qualtrics.slack.com/archives/C02KP7NE6FP/p1786998876018849</t>
        </is>
      </c>
      <c r="B140" s="14" t="n"/>
      <c r="C140" s="14" t="n"/>
      <c r="D140" s="14" t="inlineStr">
        <is>
          <t>https://portal.na1prd.taulia.com/doclink/a0ba6b19ec827b12e90a968638502b766f3c465b</t>
        </is>
      </c>
      <c r="E140" s="14" t="n">
        <v>4501176547</v>
      </c>
      <c r="F140" s="14" t="inlineStr">
        <is>
          <t>Hello team, We received a PO to be actioned but there is no further info on it, just the link to actione it. Here is the ticket in case you need additional details: ZZ_AF71C7BEB4F24974. Thanks in advance!</t>
        </is>
      </c>
      <c r="G140" s="14" t="inlineStr">
        <is>
          <t>Mario Cortés</t>
        </is>
      </c>
      <c r="H140" s="15" t="n">
        <v>46251.60581018519</v>
      </c>
      <c r="I140" s="14" t="n"/>
      <c r="J140" s="14" t="n"/>
      <c r="K140" s="14" t="n"/>
      <c r="L140" s="14" t="n"/>
      <c r="M140" s="14" t="n"/>
      <c r="N140" s="14" t="n"/>
    </row>
    <row r="141">
      <c r="A141" s="14" t="inlineStr">
        <is>
          <t>https://qualtrics.slack.com/archives/C02KP7NE6FP/p1787003000468119</t>
        </is>
      </c>
      <c r="B141" s="14" t="n"/>
      <c r="C141" s="14" t="n"/>
      <c r="D141" s="14" t="inlineStr">
        <is>
          <t>https://portal.na1prd.taulia.com/doclink/017e78d75cbda9941ef43f286b0aa203eb6b6d82</t>
        </is>
      </c>
      <c r="E141" s="14" t="n">
        <v>4501176548</v>
      </c>
      <c r="F141" s="14" t="inlineStr">
        <is>
          <t>Hi team! We received this automatic message stating that the above PO was submitted to their portal but it does not show the invoice amount or any other information. Could you provide this information so I can search for the Opp and add the PO# where it belongs? Thank you!</t>
        </is>
      </c>
      <c r="G141" s="14" t="inlineStr">
        <is>
          <t>Andres Prieto</t>
        </is>
      </c>
      <c r="H141" s="15" t="n">
        <v>46251.65428240741</v>
      </c>
      <c r="I141" s="14" t="inlineStr">
        <is>
          <t>white_check_mark</t>
        </is>
      </c>
      <c r="J141" s="14" t="inlineStr">
        <is>
          <t>✅</t>
        </is>
      </c>
      <c r="K141" s="14" t="inlineStr">
        <is>
          <t>@dreimers</t>
        </is>
      </c>
      <c r="L141" s="14" t="inlineStr">
        <is>
          <t>@dreimers</t>
        </is>
      </c>
      <c r="M141" s="15" t="n">
        <v>46252.31541666666</v>
      </c>
      <c r="N141" s="14" t="inlineStr">
        <is>
          <t>0 days 15 hrs</t>
        </is>
      </c>
    </row>
    <row r="142">
      <c r="A142" s="14" t="inlineStr">
        <is>
          <t>https://qualtrics.slack.com/archives/C02KP7NE6FP/p1787014208842389</t>
        </is>
      </c>
      <c r="B142" s="14" t="inlineStr">
        <is>
          <t>INV00025761</t>
        </is>
      </c>
      <c r="C142" s="14" t="inlineStr">
        <is>
          <t>382,884 JPY</t>
        </is>
      </c>
      <c r="D142" s="14" t="inlineStr">
        <is>
          <t>COUPA</t>
        </is>
      </c>
      <c r="E142" s="14" t="n">
        <v>374271</v>
      </c>
      <c r="F142" s="14" t="n"/>
      <c r="G142" s="14" t="inlineStr">
        <is>
          <t>Andrea Juarez</t>
        </is>
      </c>
      <c r="H142" s="15" t="n">
        <v>46251.78457175926</v>
      </c>
      <c r="I142" s="14" t="inlineStr">
        <is>
          <t>white_check_mark</t>
        </is>
      </c>
      <c r="J142" s="14" t="inlineStr">
        <is>
          <t>✅</t>
        </is>
      </c>
      <c r="K142" s="14" t="inlineStr">
        <is>
          <t>@dreimers</t>
        </is>
      </c>
      <c r="L142" s="14" t="inlineStr">
        <is>
          <t>@dreimers</t>
        </is>
      </c>
      <c r="M142" s="15" t="n">
        <v>46252.38494212963</v>
      </c>
      <c r="N142" s="14" t="inlineStr">
        <is>
          <t>0 days 14 hrs</t>
        </is>
      </c>
    </row>
    <row r="143">
      <c r="A143" s="14" t="inlineStr">
        <is>
          <t>https://qualtrics.slack.com/archives/C02KP7NE6FP/p1787024173840059</t>
        </is>
      </c>
      <c r="B143" s="14" t="inlineStr">
        <is>
          <t>INV00025652</t>
        </is>
      </c>
      <c r="C143" s="14" t="n">
        <v>120468.28</v>
      </c>
      <c r="D143" s="14" t="inlineStr">
        <is>
          <t>Coupa</t>
        </is>
      </c>
      <c r="E143" s="14" t="inlineStr">
        <is>
          <t>ND366114</t>
        </is>
      </c>
      <c r="F143" s="14" t="n"/>
      <c r="G143" s="14" t="inlineStr">
        <is>
          <t>George Kahy</t>
        </is>
      </c>
      <c r="H143" s="15" t="n">
        <v>46251.89958333333</v>
      </c>
      <c r="I143" s="14" t="inlineStr">
        <is>
          <t>white_check_mark</t>
        </is>
      </c>
      <c r="J143" s="14" t="inlineStr">
        <is>
          <t>✅</t>
        </is>
      </c>
      <c r="K143" s="14" t="inlineStr">
        <is>
          <t>@aprilj</t>
        </is>
      </c>
      <c r="L143" s="14" t="inlineStr">
        <is>
          <t>@aprilj</t>
        </is>
      </c>
      <c r="M143" s="15" t="n">
        <v>46252.29947916666</v>
      </c>
      <c r="N143" s="14" t="inlineStr">
        <is>
          <t>0 days 9 hrs</t>
        </is>
      </c>
    </row>
    <row r="144">
      <c r="A144" s="14" t="inlineStr">
        <is>
          <t>https://qualtrics.slack.com/archives/C02KP7NE6FP/p1787042158319409</t>
        </is>
      </c>
      <c r="B144" s="14" t="inlineStr">
        <is>
          <t>INV00023883</t>
        </is>
      </c>
      <c r="C144" s="14" t="n">
        <v>15228</v>
      </c>
      <c r="D144" s="14" t="inlineStr">
        <is>
          <t>Ariba</t>
        </is>
      </c>
      <c r="E144" s="14" t="inlineStr">
        <is>
          <t>PO3309171</t>
        </is>
      </c>
      <c r="F144" s="14" t="inlineStr">
        <is>
          <t>Please upload invoice to Ariba</t>
        </is>
      </c>
      <c r="G144" s="14" t="inlineStr">
        <is>
          <t>George Kahy</t>
        </is>
      </c>
      <c r="H144" s="15" t="n">
        <v>46252.10716435185</v>
      </c>
      <c r="I144" s="14" t="inlineStr">
        <is>
          <t>eyes</t>
        </is>
      </c>
      <c r="J144" s="14" t="inlineStr">
        <is>
          <t>👀</t>
        </is>
      </c>
      <c r="K144" s="14" t="inlineStr">
        <is>
          <t>@eparedes</t>
        </is>
      </c>
      <c r="L144" s="14" t="inlineStr">
        <is>
          <t>@aprilj</t>
        </is>
      </c>
      <c r="M144" s="15" t="n">
        <v>46252.30134259259</v>
      </c>
      <c r="N144" s="14" t="inlineStr">
        <is>
          <t>0 days 4 hrs</t>
        </is>
      </c>
    </row>
    <row r="145">
      <c r="A145" s="14" t="inlineStr">
        <is>
          <t>https://qualtrics.slack.com/archives/C02KP7NE6FP/p1787074828114259</t>
        </is>
      </c>
      <c r="B145" s="14" t="inlineStr">
        <is>
          <t>INV00025761</t>
        </is>
      </c>
      <c r="C145" s="14" t="inlineStr">
        <is>
          <t>JPY 382,884</t>
        </is>
      </c>
      <c r="D145" s="14" t="inlineStr">
        <is>
          <t>Coupa</t>
        </is>
      </c>
      <c r="E145" s="14" t="n">
        <v>374271</v>
      </c>
      <c r="F145" s="14" t="n"/>
      <c r="G145" s="14" t="inlineStr">
        <is>
          <t>Alejandro Salazar Copado</t>
        </is>
      </c>
      <c r="H145" s="15" t="n">
        <v>46252.48598379629</v>
      </c>
      <c r="I145" s="14" t="inlineStr">
        <is>
          <t>white_check_mark</t>
        </is>
      </c>
      <c r="J145" s="14" t="inlineStr">
        <is>
          <t>✅</t>
        </is>
      </c>
      <c r="K145" s="14" t="inlineStr">
        <is>
          <t>@dreimers</t>
        </is>
      </c>
      <c r="L145" s="14" t="inlineStr">
        <is>
          <t>@dreimers</t>
        </is>
      </c>
      <c r="M145" s="15" t="n">
        <v>46252.48894675926</v>
      </c>
      <c r="N145" s="14" t="inlineStr">
        <is>
          <t>0 days 0 hrs</t>
        </is>
      </c>
    </row>
    <row r="146">
      <c r="A146" s="14" t="inlineStr">
        <is>
          <t>https://qualtrics.slack.com/archives/C02KP7NE6FP/p1787078333384809</t>
        </is>
      </c>
      <c r="B146" s="14" t="inlineStr">
        <is>
          <t>INV00026379</t>
        </is>
      </c>
      <c r="C146" s="14" t="n">
        <v>117495</v>
      </c>
      <c r="D146" s="14" t="inlineStr">
        <is>
          <t>Coupa</t>
        </is>
      </c>
      <c r="E146" s="14" t="n">
        <v>3701432071</v>
      </c>
      <c r="F146" s="14" t="n"/>
      <c r="G146" s="14" t="inlineStr">
        <is>
          <t>Diego Cué Vázquez</t>
        </is>
      </c>
      <c r="H146" s="15" t="n">
        <v>46252.5265625</v>
      </c>
      <c r="I146" s="14" t="inlineStr">
        <is>
          <t>white_check_mark</t>
        </is>
      </c>
      <c r="J146" s="14" t="inlineStr">
        <is>
          <t>✅</t>
        </is>
      </c>
      <c r="K146" s="14" t="inlineStr">
        <is>
          <t>@dreimers</t>
        </is>
      </c>
      <c r="L146" s="14" t="inlineStr">
        <is>
          <t>@dreimers</t>
        </is>
      </c>
      <c r="M146" s="15" t="n">
        <v>46252.578125</v>
      </c>
      <c r="N146" s="14" t="inlineStr">
        <is>
          <t>0 days 1 hrs</t>
        </is>
      </c>
    </row>
    <row r="147">
      <c r="A147" s="14" t="inlineStr">
        <is>
          <t>https://qualtrics.slack.com/archives/C02KP7NE6FP/p1787132194650149</t>
        </is>
      </c>
      <c r="B147" s="14" t="inlineStr">
        <is>
          <t>INV00026390</t>
        </is>
      </c>
      <c r="C147" s="14" t="inlineStr">
        <is>
          <t>9 055,52 €</t>
        </is>
      </c>
      <c r="D147" s="14" t="inlineStr">
        <is>
          <t>Tradeinterop</t>
        </is>
      </c>
      <c r="E147" s="14" t="n">
        <v>3910215532</v>
      </c>
      <c r="F147" s="14" t="inlineStr">
        <is>
          <t>attached is manual, there are also alternative upload options.</t>
        </is>
      </c>
      <c r="G147" s="14" t="inlineStr">
        <is>
          <t>Yulian Trishch</t>
        </is>
      </c>
      <c r="H147" s="15" t="n">
        <v>46253.14837962963</v>
      </c>
      <c r="I147" s="14" t="inlineStr">
        <is>
          <t>white_check_mark</t>
        </is>
      </c>
      <c r="J147" s="14" t="inlineStr">
        <is>
          <t>✅</t>
        </is>
      </c>
      <c r="K147" s="14" t="inlineStr">
        <is>
          <t>@dreimers</t>
        </is>
      </c>
      <c r="L147" s="14" t="inlineStr">
        <is>
          <t>@dreimers</t>
        </is>
      </c>
      <c r="M147" s="15" t="n">
        <v>46253.49686342593</v>
      </c>
      <c r="N147" s="14" t="inlineStr">
        <is>
          <t>0 days 8 hrs</t>
        </is>
      </c>
    </row>
    <row r="148">
      <c r="A148" s="14" t="inlineStr">
        <is>
          <t>https://qualtrics.slack.com/archives/C02KP7NE6FP/p1787138894694049</t>
        </is>
      </c>
      <c r="B148" s="14" t="n">
        <v>467656</v>
      </c>
      <c r="C148" s="14" t="n">
        <v>17580.46</v>
      </c>
      <c r="D148" s="14" t="inlineStr">
        <is>
          <t>https://idcs-0efcb772ba234b91bdd2b638a5219352.identity.oraclecloud.com/ui/v1/signin</t>
        </is>
      </c>
      <c r="E148" s="14" t="inlineStr">
        <is>
          <t>TEF-PO-00008997</t>
        </is>
      </c>
      <c r="F148" s="14" t="inlineStr">
        <is>
          <t>Hello Diego,  I hope you’re doing well!  This invoice needs to be submitted through the customer’s portal using GRN #15847. Could you please confirm whether we are registered in the portal and if you’re able to submit the invoice? Otherwise, please let me know if I should coordinate portal access with the customer.  Thank you so much in advance!</t>
        </is>
      </c>
      <c r="G148" s="14" t="inlineStr">
        <is>
          <t>Viki Kovaliv</t>
        </is>
      </c>
      <c r="H148" s="15" t="n">
        <v>46253.22612268518</v>
      </c>
      <c r="I148" s="14" t="inlineStr">
        <is>
          <t>white_check_mark</t>
        </is>
      </c>
      <c r="J148" s="14" t="inlineStr">
        <is>
          <t>✅</t>
        </is>
      </c>
      <c r="K148" s="14" t="inlineStr">
        <is>
          <t>@dreimers</t>
        </is>
      </c>
      <c r="L148" s="14" t="inlineStr">
        <is>
          <t>@dreimers</t>
        </is>
      </c>
      <c r="M148" s="15" t="n">
        <v>46254.62723379629</v>
      </c>
      <c r="N148" s="14" t="inlineStr">
        <is>
          <t>1 days 9 hrs</t>
        </is>
      </c>
    </row>
    <row r="149">
      <c r="A149" s="14" t="inlineStr">
        <is>
          <t>https://qualtrics.slack.com/archives/C02KP7NE6FP/p1787262406103859</t>
        </is>
      </c>
      <c r="B149" s="14" t="inlineStr">
        <is>
          <t>INV00025781</t>
        </is>
      </c>
      <c r="C149" s="14" t="n">
        <v>26579.11</v>
      </c>
      <c r="D149" s="14" t="inlineStr">
        <is>
          <t>Ariba</t>
        </is>
      </c>
      <c r="E149" s="14" t="n"/>
      <c r="F149" s="14" t="inlineStr">
        <is>
          <t>Hi Team! can we upload this invoice to ariba? thanks!!</t>
        </is>
      </c>
      <c r="G149" s="14" t="inlineStr">
        <is>
          <t>Sebastian Novelo</t>
        </is>
      </c>
      <c r="H149" s="15" t="n">
        <v>46254.65672453704</v>
      </c>
      <c r="I149" s="14" t="inlineStr">
        <is>
          <t>white_check_mark</t>
        </is>
      </c>
      <c r="J149" s="14" t="inlineStr">
        <is>
          <t>✅</t>
        </is>
      </c>
      <c r="K149" s="14" t="inlineStr">
        <is>
          <t>@dreimers</t>
        </is>
      </c>
      <c r="L149" s="14" t="inlineStr">
        <is>
          <t>@dreimers</t>
        </is>
      </c>
      <c r="M149" s="15" t="n">
        <v>46254.67521990741</v>
      </c>
      <c r="N149" s="14" t="inlineStr">
        <is>
          <t>0 days 0 hrs</t>
        </is>
      </c>
    </row>
    <row r="150">
      <c r="A150" s="14" t="inlineStr">
        <is>
          <t>https://qualtrics.slack.com/archives/C02KP7NE6FP/p1787330199070499</t>
        </is>
      </c>
      <c r="B150" s="14" t="n">
        <v>471857</v>
      </c>
      <c r="C150" s="14" t="n">
        <v>8268.200000000001</v>
      </c>
      <c r="D150" s="14" t="inlineStr">
        <is>
          <t>Peppol</t>
        </is>
      </c>
      <c r="E150" s="14" t="inlineStr">
        <is>
          <t>GFN81-2026</t>
        </is>
      </c>
      <c r="F150" s="14" t="n"/>
      <c r="G150" s="14" t="inlineStr">
        <is>
          <t>Jose Novelo</t>
        </is>
      </c>
      <c r="H150" s="15" t="n">
        <v>46255.44009259259</v>
      </c>
      <c r="I150" s="14" t="inlineStr">
        <is>
          <t>question</t>
        </is>
      </c>
      <c r="J150" s="14" t="inlineStr">
        <is>
          <t>❓</t>
        </is>
      </c>
      <c r="K150" s="14" t="inlineStr">
        <is>
          <t>@dreimers</t>
        </is>
      </c>
      <c r="L150" s="14" t="inlineStr">
        <is>
          <t>@dreimers</t>
        </is>
      </c>
      <c r="M150" s="14" t="n"/>
      <c r="N150" s="14" t="n"/>
    </row>
    <row r="151">
      <c r="A151" s="14" t="inlineStr">
        <is>
          <t>https://qualtrics.slack.com/archives/C02KP7NE6FP/p1787580582862149</t>
        </is>
      </c>
      <c r="B151" s="14" t="inlineStr">
        <is>
          <t>INV00023536</t>
        </is>
      </c>
      <c r="C151" s="14" t="inlineStr">
        <is>
          <t>29 262,50</t>
        </is>
      </c>
      <c r="D151" s="14" t="inlineStr">
        <is>
          <t>Coupa</t>
        </is>
      </c>
      <c r="E151" s="14" t="inlineStr">
        <is>
          <t>POC347065</t>
        </is>
      </c>
      <c r="F151" s="14" t="inlineStr">
        <is>
          <t>Please process the invoice against the PO. Thank you!</t>
        </is>
      </c>
      <c r="G151" s="14" t="inlineStr">
        <is>
          <t>Yulian Trishch</t>
        </is>
      </c>
      <c r="H151" s="15" t="n">
        <v>46258.33956018519</v>
      </c>
      <c r="I151" s="14" t="inlineStr">
        <is>
          <t>white_check_mark</t>
        </is>
      </c>
      <c r="J151" s="14" t="inlineStr">
        <is>
          <t>✅</t>
        </is>
      </c>
      <c r="K151" s="14" t="inlineStr">
        <is>
          <t>@dreimers</t>
        </is>
      </c>
      <c r="L151" s="14" t="inlineStr">
        <is>
          <t>@dreimers</t>
        </is>
      </c>
      <c r="M151" s="15" t="n">
        <v>46258.6808912037</v>
      </c>
      <c r="N151" s="14" t="inlineStr">
        <is>
          <t>0 days 8 hrs</t>
        </is>
      </c>
    </row>
    <row r="152">
      <c r="A152" s="14" t="inlineStr">
        <is>
          <t>https://qualtrics.slack.com/archives/C02KP7NE6FP/p1787597103168799</t>
        </is>
      </c>
      <c r="B152" s="14" t="inlineStr">
        <is>
          <t>INV00026412</t>
        </is>
      </c>
      <c r="C152" s="14" t="n">
        <v>2520</v>
      </c>
      <c r="D152" s="14" t="inlineStr">
        <is>
          <t>Coupa</t>
        </is>
      </c>
      <c r="E152" s="14" t="inlineStr">
        <is>
          <t>G4P-8006615938</t>
        </is>
      </c>
      <c r="F152" s="14" t="n"/>
      <c r="G152" s="14" t="inlineStr">
        <is>
          <t>Alejandro Salazar Copado</t>
        </is>
      </c>
      <c r="H152" s="15" t="n">
        <v>46258.52960648148</v>
      </c>
      <c r="I152" s="14" t="inlineStr">
        <is>
          <t>white_check_mark</t>
        </is>
      </c>
      <c r="J152" s="14" t="inlineStr">
        <is>
          <t>✅</t>
        </is>
      </c>
      <c r="K152" s="14" t="inlineStr">
        <is>
          <t>@dreimers</t>
        </is>
      </c>
      <c r="L152" s="14" t="inlineStr">
        <is>
          <t>@dreimers</t>
        </is>
      </c>
      <c r="M152" s="15" t="n">
        <v>46258.69270833334</v>
      </c>
      <c r="N152" s="14" t="inlineStr">
        <is>
          <t>0 days 3 hrs</t>
        </is>
      </c>
    </row>
    <row r="153">
      <c r="A153" s="14" t="inlineStr">
        <is>
          <t>https://qualtrics.slack.com/archives/C02KP7NE6FP/p1787676634958019</t>
        </is>
      </c>
      <c r="B153" s="14" t="n">
        <v>460092</v>
      </c>
      <c r="C153" s="14" t="n">
        <v>441932.24</v>
      </c>
      <c r="D153" s="14" t="inlineStr">
        <is>
          <t>Coupa</t>
        </is>
      </c>
      <c r="E153" s="14" t="inlineStr">
        <is>
          <t>CO187163</t>
        </is>
      </c>
      <c r="F153" s="14" t="n"/>
      <c r="G153" s="14" t="inlineStr">
        <is>
          <t>Braulio Sánchez Chávez</t>
        </is>
      </c>
      <c r="H153" s="15" t="n">
        <v>46259.45118055555</v>
      </c>
      <c r="I153" s="14" t="inlineStr">
        <is>
          <t>white_check_mark</t>
        </is>
      </c>
      <c r="J153" s="14" t="inlineStr">
        <is>
          <t>✅</t>
        </is>
      </c>
      <c r="K153" s="14" t="inlineStr">
        <is>
          <t>@dreimers</t>
        </is>
      </c>
      <c r="L153" s="14" t="inlineStr">
        <is>
          <t>@dreimers</t>
        </is>
      </c>
      <c r="M153" s="15" t="n">
        <v>46259.69587962963</v>
      </c>
      <c r="N153" s="14" t="inlineStr">
        <is>
          <t>0 days 5 hrs</t>
        </is>
      </c>
    </row>
    <row r="154">
      <c r="A154" s="14" t="inlineStr">
        <is>
          <t>https://qualtrics.slack.com/archives/C02KP7NE6FP/p1787677018281369</t>
        </is>
      </c>
      <c r="B154" s="14" t="n">
        <v>456316</v>
      </c>
      <c r="C154" s="14" t="n">
        <v>148709.05</v>
      </c>
      <c r="D154" s="14" t="inlineStr">
        <is>
          <t>Coupa</t>
        </is>
      </c>
      <c r="E154" s="14" t="inlineStr">
        <is>
          <t>7960 or 7690</t>
        </is>
      </c>
      <c r="F154" s="14" t="inlineStr">
        <is>
          <t>Hi team, the client is trying to track down thsi invoice in Coupa but there was a confussion earlier this year with PO numbers, I can't find confirmation in Netsuite on which of these PO numbers was used for upload and the latest invoice version has a completely different PO. Can you please help me track thsi down?</t>
        </is>
      </c>
      <c r="G154" s="14" t="inlineStr">
        <is>
          <t>Luisa Mancilla</t>
        </is>
      </c>
      <c r="H154" s="15" t="n">
        <v>46259.45444444445</v>
      </c>
      <c r="I154" s="14" t="inlineStr">
        <is>
          <t>x</t>
        </is>
      </c>
      <c r="J154" s="14" t="inlineStr">
        <is>
          <t>❌</t>
        </is>
      </c>
      <c r="K154" s="14" t="inlineStr">
        <is>
          <t>@dreimers</t>
        </is>
      </c>
      <c r="L154" s="14" t="inlineStr">
        <is>
          <t>@aprilj</t>
        </is>
      </c>
      <c r="M154" s="14" t="n"/>
      <c r="N154" s="14" t="n"/>
    </row>
    <row r="155">
      <c r="A155" s="14" t="inlineStr">
        <is>
          <t>https://qualtrics.slack.com/archives/C02KP7NE6FP/p1787677048508999</t>
        </is>
      </c>
      <c r="B155" s="14" t="n">
        <v>456957</v>
      </c>
      <c r="C155" s="14" t="n">
        <v>607105.4300000001</v>
      </c>
      <c r="D155" s="14" t="inlineStr">
        <is>
          <t>Coupa</t>
        </is>
      </c>
      <c r="E155" s="14" t="inlineStr">
        <is>
          <t>CO187163</t>
        </is>
      </c>
      <c r="F155" s="14" t="n"/>
      <c r="G155" s="14" t="inlineStr">
        <is>
          <t>Braulio Sánchez Chávez</t>
        </is>
      </c>
      <c r="H155" s="15" t="n">
        <v>46259.45601851852</v>
      </c>
      <c r="I155" s="14" t="inlineStr">
        <is>
          <t>white_check_mark</t>
        </is>
      </c>
      <c r="J155" s="14" t="inlineStr">
        <is>
          <t>✅</t>
        </is>
      </c>
      <c r="K155" s="14" t="inlineStr">
        <is>
          <t>@dreimers</t>
        </is>
      </c>
      <c r="L155" s="14" t="inlineStr">
        <is>
          <t>@dreimers</t>
        </is>
      </c>
      <c r="M155" s="15" t="n">
        <v>46259.69956018519</v>
      </c>
      <c r="N155" s="14" t="inlineStr">
        <is>
          <t>0 days 5 hrs</t>
        </is>
      </c>
    </row>
    <row r="156">
      <c r="A156" s="14" t="inlineStr">
        <is>
          <t>https://qualtrics.slack.com/archives/C02KP7NE6FP/p1787678466119779</t>
        </is>
      </c>
      <c r="B156" s="14" t="inlineStr">
        <is>
          <t>INV00025064</t>
        </is>
      </c>
      <c r="C156" s="14" t="n">
        <v>144204.1</v>
      </c>
      <c r="D156" s="14" t="inlineStr">
        <is>
          <t>Coupa</t>
        </is>
      </c>
      <c r="E156" s="14" t="inlineStr">
        <is>
          <t>CO202342</t>
        </is>
      </c>
      <c r="F156" s="14" t="n"/>
      <c r="G156" s="14" t="inlineStr">
        <is>
          <t>Braulio Sánchez Chávez</t>
        </is>
      </c>
      <c r="H156" s="15" t="n">
        <v>46259.4687037037</v>
      </c>
      <c r="I156" s="14" t="inlineStr">
        <is>
          <t>white_check_mark</t>
        </is>
      </c>
      <c r="J156" s="14" t="inlineStr">
        <is>
          <t>✅</t>
        </is>
      </c>
      <c r="K156" s="14" t="inlineStr">
        <is>
          <t>@dreimers</t>
        </is>
      </c>
      <c r="L156" s="14" t="inlineStr">
        <is>
          <t>@dreimers</t>
        </is>
      </c>
      <c r="M156" s="15" t="n">
        <v>46259.70200231481</v>
      </c>
      <c r="N156" s="14" t="inlineStr">
        <is>
          <t>0 days 5 hrs</t>
        </is>
      </c>
    </row>
    <row r="157">
      <c r="A157" s="14" t="inlineStr">
        <is>
          <t>https://qualtrics.slack.com/archives/C02KP7NE6FP/p1787679775021589</t>
        </is>
      </c>
      <c r="B157" s="14" t="inlineStr">
        <is>
          <t>INV00023970</t>
        </is>
      </c>
      <c r="C157" s="14" t="n">
        <v>267171.1</v>
      </c>
      <c r="D157" s="14" t="inlineStr">
        <is>
          <t>Coupa</t>
        </is>
      </c>
      <c r="E157" s="14" t="inlineStr">
        <is>
          <t>CO199331</t>
        </is>
      </c>
      <c r="F157" s="14" t="n"/>
      <c r="G157" s="14" t="inlineStr">
        <is>
          <t>Braulio Sánchez Chávez</t>
        </is>
      </c>
      <c r="H157" s="15" t="n">
        <v>46259.48753472222</v>
      </c>
      <c r="I157" s="14" t="inlineStr">
        <is>
          <t>white_check_mark</t>
        </is>
      </c>
      <c r="J157" s="14" t="inlineStr">
        <is>
          <t>✅</t>
        </is>
      </c>
      <c r="K157" s="14" t="inlineStr">
        <is>
          <t>@dreimers</t>
        </is>
      </c>
      <c r="L157" s="14" t="inlineStr">
        <is>
          <t>@dreimers</t>
        </is>
      </c>
      <c r="M157" s="15" t="n">
        <v>46259.70475694445</v>
      </c>
      <c r="N157" s="14" t="inlineStr">
        <is>
          <t>0 days 5 hrs</t>
        </is>
      </c>
    </row>
    <row r="158">
      <c r="A158" s="14" t="inlineStr">
        <is>
          <t>https://qualtrics.slack.com/archives/C02KP7NE6FP/p1787692667677379</t>
        </is>
      </c>
      <c r="B158" s="14" t="n">
        <v>471943</v>
      </c>
      <c r="C158" s="14" t="n">
        <v>21775</v>
      </c>
      <c r="D158" s="14" t="inlineStr">
        <is>
          <t>Tungsten</t>
        </is>
      </c>
      <c r="E158" s="14" t="inlineStr">
        <is>
          <t>PO# 11200410134.</t>
        </is>
      </c>
      <c r="F158" s="14" t="n"/>
      <c r="G158" s="14" t="inlineStr">
        <is>
          <t>Fabrizio Rico del Mazo</t>
        </is>
      </c>
      <c r="H158" s="15" t="n">
        <v>46259.6369675926</v>
      </c>
      <c r="I158" s="14" t="inlineStr">
        <is>
          <t>question</t>
        </is>
      </c>
      <c r="J158" s="14" t="inlineStr">
        <is>
          <t>❓</t>
        </is>
      </c>
      <c r="K158" s="14" t="inlineStr">
        <is>
          <t>@dreimers</t>
        </is>
      </c>
      <c r="L158" s="14" t="inlineStr">
        <is>
          <t>@dreimers</t>
        </is>
      </c>
      <c r="M158" s="14" t="n"/>
      <c r="N158" s="14" t="n"/>
    </row>
    <row r="159">
      <c r="A159" s="14" t="inlineStr">
        <is>
          <t>https://qualtrics.slack.com/archives/C02KP7NE6FP/p1787763287722169</t>
        </is>
      </c>
      <c r="B159" s="14" t="inlineStr">
        <is>
          <t>INV00022213</t>
        </is>
      </c>
      <c r="C159" s="14" t="n">
        <v>316400</v>
      </c>
      <c r="D159" s="14" t="inlineStr">
        <is>
          <t>Taulia</t>
        </is>
      </c>
      <c r="E159" s="14" t="n">
        <v>4501176548</v>
      </c>
      <c r="F159" s="14" t="inlineStr">
        <is>
          <t>Hi team - could you please submit this Invoice to the Taulia portal? The PO actually covers the full contract FYI. Thanks in advance!</t>
        </is>
      </c>
      <c r="G159" s="14" t="inlineStr">
        <is>
          <t>Andrea Toscano Rosales</t>
        </is>
      </c>
      <c r="H159" s="15" t="n">
        <v>46260.45311342592</v>
      </c>
      <c r="I159" s="14" t="inlineStr">
        <is>
          <t>white_check_mark</t>
        </is>
      </c>
      <c r="J159" s="14" t="inlineStr">
        <is>
          <t>✅</t>
        </is>
      </c>
      <c r="K159" s="14" t="inlineStr">
        <is>
          <t>@dreimers</t>
        </is>
      </c>
      <c r="L159" s="14" t="n"/>
      <c r="M159" s="15" t="n">
        <v>46260.74804398148</v>
      </c>
      <c r="N159" s="14" t="inlineStr">
        <is>
          <t>0 days 7 hrs</t>
        </is>
      </c>
    </row>
    <row r="160">
      <c r="A160" s="14" t="inlineStr">
        <is>
          <t>https://qualtrics.slack.com/archives/C02KP7NE6FP/p1787766341300529</t>
        </is>
      </c>
      <c r="B160" s="14" t="inlineStr">
        <is>
          <t>INV00023050</t>
        </is>
      </c>
      <c r="C160" s="14" t="n">
        <v>77190.3</v>
      </c>
      <c r="D160" s="14" t="inlineStr">
        <is>
          <t>Taulia</t>
        </is>
      </c>
      <c r="E160" s="14" t="n">
        <v>4501176548</v>
      </c>
      <c r="F160" s="14" t="inlineStr">
        <is>
          <t>Hi team - could you please help me also upload this one into Taulia? TYSM!</t>
        </is>
      </c>
      <c r="G160" s="14" t="inlineStr">
        <is>
          <t>Andrea Toscano Rosales</t>
        </is>
      </c>
      <c r="H160" s="15" t="n">
        <v>46260.48914351852</v>
      </c>
      <c r="I160" s="14" t="inlineStr">
        <is>
          <t>white_check_mark</t>
        </is>
      </c>
      <c r="J160" s="14" t="inlineStr">
        <is>
          <t>✅</t>
        </is>
      </c>
      <c r="K160" s="14" t="inlineStr">
        <is>
          <t>@dreimers</t>
        </is>
      </c>
      <c r="L160" s="14" t="n"/>
      <c r="M160" s="15" t="n">
        <v>46260.74846064814</v>
      </c>
      <c r="N160" s="14" t="inlineStr">
        <is>
          <t>0 days 6 hrs</t>
        </is>
      </c>
    </row>
    <row r="161">
      <c r="A161" s="14" t="inlineStr">
        <is>
          <t>https://qualtrics.slack.com/archives/C02KP7NE6FP/p1787767682200899</t>
        </is>
      </c>
      <c r="B161" s="14" t="n"/>
      <c r="C161" s="14" t="n">
        <v>107500</v>
      </c>
      <c r="D161" s="14" t="inlineStr">
        <is>
          <t>https://supplier.coupahost.com/orders/48941?instance_url=https%3A%2F%2Famericannational.coupahost.com%2F&amp;supplier_id=7649&amp;</t>
        </is>
      </c>
      <c r="E161" s="14" t="n">
        <v>48941</v>
      </c>
      <c r="F161" s="14" t="inlineStr">
        <is>
          <t>Hello team, The customer issued a PO via Coupa. Here is the Ticket ID ZZ_01EB3C1D82B24661 in case that you need more context to accept it. Thanks in advance!</t>
        </is>
      </c>
      <c r="G161" s="14" t="inlineStr">
        <is>
          <t>Mario Cortés</t>
        </is>
      </c>
      <c r="H161" s="15" t="n">
        <v>46260.5043287037</v>
      </c>
      <c r="I161" s="14" t="inlineStr">
        <is>
          <t>white_check_mark</t>
        </is>
      </c>
      <c r="J161" s="14" t="inlineStr">
        <is>
          <t>✅</t>
        </is>
      </c>
      <c r="K161" s="14" t="inlineStr">
        <is>
          <t>@dreimers</t>
        </is>
      </c>
      <c r="L161" s="14" t="n"/>
      <c r="M161" s="15" t="n">
        <v>46260.74892361111</v>
      </c>
      <c r="N161" s="14" t="inlineStr">
        <is>
          <t>0 days 5 hrs</t>
        </is>
      </c>
    </row>
    <row r="162">
      <c r="A162" s="14" t="inlineStr">
        <is>
          <t>https://qualtrics.slack.com/archives/C02KP7NE6FP/p1787777036984549</t>
        </is>
      </c>
      <c r="B162" s="14" t="inlineStr">
        <is>
          <t>INV00025515</t>
        </is>
      </c>
      <c r="C162" s="14" t="n">
        <v>37500</v>
      </c>
      <c r="D162" s="14" t="inlineStr">
        <is>
          <t>Coupa</t>
        </is>
      </c>
      <c r="E162" s="14" t="n">
        <v>6311489920</v>
      </c>
      <c r="F162" s="14" t="inlineStr">
        <is>
          <t>Hi team - could you please help us upload this invoice for Walmart into Coupa? Please let us know if you need the instructions. TYSM!</t>
        </is>
      </c>
      <c r="G162" s="14" t="inlineStr">
        <is>
          <t>Andrea Toscano Rosales</t>
        </is>
      </c>
      <c r="H162" s="15" t="n">
        <v>46260.6129050926</v>
      </c>
      <c r="I162" s="14" t="inlineStr">
        <is>
          <t>white_check_mark</t>
        </is>
      </c>
      <c r="J162" s="14" t="inlineStr">
        <is>
          <t>✅</t>
        </is>
      </c>
      <c r="K162" s="14" t="inlineStr">
        <is>
          <t>@dreimers</t>
        </is>
      </c>
      <c r="L162" s="14" t="inlineStr">
        <is>
          <t>@dreimers</t>
        </is>
      </c>
      <c r="M162" s="15" t="n">
        <v>46260.7539699074</v>
      </c>
      <c r="N162" s="14" t="inlineStr">
        <is>
          <t>0 days 3 hrs</t>
        </is>
      </c>
    </row>
    <row r="163">
      <c r="A163" s="14" t="inlineStr">
        <is>
          <t>https://qualtrics.slack.com/archives/C02KP7NE6FP/p1787781331751619</t>
        </is>
      </c>
      <c r="B163" s="14" t="inlineStr">
        <is>
          <t>TEST</t>
        </is>
      </c>
      <c r="C163" s="14" t="inlineStr">
        <is>
          <t>TEST</t>
        </is>
      </c>
      <c r="D163" s="14" t="inlineStr">
        <is>
          <t>TEST</t>
        </is>
      </c>
      <c r="E163" s="14" t="inlineStr">
        <is>
          <t>TEST</t>
        </is>
      </c>
      <c r="F163" s="14" t="inlineStr">
        <is>
          <t>TEST</t>
        </is>
      </c>
      <c r="G163" s="14" t="inlineStr">
        <is>
          <t>Alejandra Mendoza</t>
        </is>
      </c>
      <c r="H163" s="15" t="n">
        <v>46260.66341435185</v>
      </c>
      <c r="I163" s="14" t="inlineStr">
        <is>
          <t>white_check_mark</t>
        </is>
      </c>
      <c r="J163" s="14" t="inlineStr">
        <is>
          <t>✅</t>
        </is>
      </c>
      <c r="K163" s="14" t="inlineStr">
        <is>
          <t>@alejandram</t>
        </is>
      </c>
      <c r="L163" s="14" t="inlineStr">
        <is>
          <t>@dreimers</t>
        </is>
      </c>
      <c r="M163" s="15" t="n">
        <v>46260.66575231482</v>
      </c>
      <c r="N163" s="14" t="inlineStr">
        <is>
          <t>0 days 0 hrs</t>
        </is>
      </c>
    </row>
    <row r="164">
      <c r="A164" s="14" t="inlineStr">
        <is>
          <t>https://qualtrics.slack.com/archives/C02KP7NE6FP/p1787933477145199</t>
        </is>
      </c>
      <c r="B164" s="14" t="inlineStr">
        <is>
          <t>INV00026750</t>
        </is>
      </c>
      <c r="C164" s="14" t="n">
        <v>693000</v>
      </c>
      <c r="D164" s="14" t="inlineStr">
        <is>
          <t>Ariba</t>
        </is>
      </c>
      <c r="E164" s="14" t="n">
        <v>6000363751</v>
      </c>
      <c r="F164" s="14" t="inlineStr">
        <is>
          <t>can you plese upload this invoice to Ariba under PO 6000363751</t>
        </is>
      </c>
      <c r="G164" s="14" t="inlineStr">
        <is>
          <t>Regina Peña</t>
        </is>
      </c>
      <c r="H164" s="15" t="n">
        <v>46262.42390046296</v>
      </c>
      <c r="I164" s="14" t="inlineStr">
        <is>
          <t>white_check_mark</t>
        </is>
      </c>
      <c r="J164" s="14" t="inlineStr">
        <is>
          <t>✅</t>
        </is>
      </c>
      <c r="K164" s="14" t="inlineStr">
        <is>
          <t>@dreimers</t>
        </is>
      </c>
      <c r="L164" s="14" t="inlineStr">
        <is>
          <t>@dreimers</t>
        </is>
      </c>
      <c r="M164" s="15" t="n">
        <v>46262.75164351852</v>
      </c>
      <c r="N164" s="14" t="inlineStr">
        <is>
          <t>0 days 7 hrs</t>
        </is>
      </c>
    </row>
    <row r="165">
      <c r="A165" s="14" t="inlineStr">
        <is>
          <t>https://qualtrics.slack.com/archives/C02KP7NE6FP/p1787936778383849</t>
        </is>
      </c>
      <c r="B165" s="14" t="inlineStr">
        <is>
          <t>INV00020977</t>
        </is>
      </c>
      <c r="C165" s="14" t="n">
        <v>129300</v>
      </c>
      <c r="D165" s="14" t="inlineStr">
        <is>
          <t>https://edmk.fa.us2.oraclecloud.com/</t>
        </is>
      </c>
      <c r="E165" s="14" t="n">
        <v>1005156102</v>
      </c>
      <c r="F165" s="14" t="inlineStr">
        <is>
          <t>Hello team, Could you help me upload the invoice into their portal? I attached the instructions they shared as well. Thanks in advance!</t>
        </is>
      </c>
      <c r="G165" s="14" t="inlineStr">
        <is>
          <t>Mario Cortés</t>
        </is>
      </c>
      <c r="H165" s="15" t="n">
        <v>46262.46074074074</v>
      </c>
      <c r="I165" s="14" t="inlineStr">
        <is>
          <t>white_check_mark</t>
        </is>
      </c>
      <c r="J165" s="14" t="inlineStr">
        <is>
          <t>✅</t>
        </is>
      </c>
      <c r="K165" s="14" t="inlineStr">
        <is>
          <t>@dreimers</t>
        </is>
      </c>
      <c r="L165" s="14" t="inlineStr">
        <is>
          <t>@dreimers</t>
        </is>
      </c>
      <c r="M165" s="15" t="n">
        <v>46262.75387731481</v>
      </c>
      <c r="N165" s="14" t="inlineStr">
        <is>
          <t>0 days 7 hrs</t>
        </is>
      </c>
    </row>
    <row r="166">
      <c r="A166" s="14" t="inlineStr">
        <is>
          <t>https://qualtrics.slack.com/archives/C02KP7NE6FP/p1787946076267879</t>
        </is>
      </c>
      <c r="B166" s="14" t="n"/>
      <c r="C166" s="14" t="n">
        <v>17463</v>
      </c>
      <c r="D166" s="14" t="inlineStr">
        <is>
          <t>Coupa</t>
        </is>
      </c>
      <c r="E166" s="14" t="n">
        <v>7101051154</v>
      </c>
      <c r="F166" s="14" t="inlineStr">
        <is>
          <t>Hello team, the customer shared this PO via Coupa. Here is the ticket ZZ_0D7995A830D44408 in case you need to action something on the platform. Thanks in advance!</t>
        </is>
      </c>
      <c r="G166" s="14" t="inlineStr">
        <is>
          <t>Mario Cortés</t>
        </is>
      </c>
      <c r="H166" s="15" t="n">
        <v>46262.56922453704</v>
      </c>
      <c r="I166" s="14" t="inlineStr">
        <is>
          <t>white_check_mark</t>
        </is>
      </c>
      <c r="J166" s="14" t="inlineStr">
        <is>
          <t>✅</t>
        </is>
      </c>
      <c r="K166" s="14" t="inlineStr">
        <is>
          <t>@dreimers</t>
        </is>
      </c>
      <c r="L166" s="14" t="inlineStr">
        <is>
          <t>@dreimers</t>
        </is>
      </c>
      <c r="M166" s="15" t="n">
        <v>46262.7541550926</v>
      </c>
      <c r="N166" s="14" t="inlineStr">
        <is>
          <t>0 days 4 hrs</t>
        </is>
      </c>
    </row>
    <row r="167">
      <c r="A167" s="14" t="inlineStr">
        <is>
          <t>https://qualtrics.slack.com/archives/C02KP7NE6FP/p1788196106903499</t>
        </is>
      </c>
      <c r="B167" s="14" t="inlineStr">
        <is>
          <t>INV00022414</t>
        </is>
      </c>
      <c r="C167" s="14" t="n">
        <v>15000</v>
      </c>
      <c r="D167" s="14" t="inlineStr">
        <is>
          <t>Coupa Supplier Portal (CSP)</t>
        </is>
      </c>
      <c r="E167" s="14" t="n">
        <v>2014540</v>
      </c>
      <c r="F167" s="14" t="inlineStr">
        <is>
          <t>CW tried to submit payment but it looks like they got a bounce back. They need some help. And they said they got a bounce back from the AR@qualtrics.com email. Here's the email they sent the AE:  'Hello AR @ Qualtrics International, Inc,    The ACH payment for invoice INV00022414 was returned, “unable to locate account”.    When reviewing the supplier banking information on file, it appears that the routing number provided is a wire transfer routing number rather than the ACH routing number required for ACH payments.    In the Coupa Supplier Portal (CSP), we extended the Supplier Update v11 form, please update the ACH banking details. To access the form, click "Business Profile" tab, select "Information Requests," and then click "Supplier Update v11" form. Scroll to the bottom of the form, click "Edit," and enter the correct ACH routing number and banking information for ACH payments.  Thank you!' Can you please help us update the portal information as requested? Thank you in advance!</t>
        </is>
      </c>
      <c r="G167" s="14" t="inlineStr">
        <is>
          <t>Edgar Pérez</t>
        </is>
      </c>
      <c r="H167" s="15" t="n">
        <v>46265.46298611111</v>
      </c>
      <c r="I167" s="14" t="inlineStr">
        <is>
          <t>white_check_mark</t>
        </is>
      </c>
      <c r="J167" s="14" t="inlineStr">
        <is>
          <t>✅</t>
        </is>
      </c>
      <c r="K167" s="14" t="inlineStr">
        <is>
          <t>@dreimers</t>
        </is>
      </c>
      <c r="L167" s="14" t="inlineStr">
        <is>
          <t>@dreimers</t>
        </is>
      </c>
      <c r="M167" s="15" t="n">
        <v>46265.7983912037</v>
      </c>
      <c r="N167" s="14" t="inlineStr">
        <is>
          <t>0 days 8 hrs</t>
        </is>
      </c>
    </row>
    <row r="168">
      <c r="A168" s="14" t="inlineStr">
        <is>
          <t>https://qualtrics.slack.com/archives/C02KP7NE6FP/p1788201755254359</t>
        </is>
      </c>
      <c r="B168" s="14" t="n">
        <v>472012</v>
      </c>
      <c r="C168" s="14" t="n">
        <v>1800000</v>
      </c>
      <c r="D168" s="14" t="inlineStr">
        <is>
          <t>Ariba</t>
        </is>
      </c>
      <c r="E168" s="14" t="inlineStr">
        <is>
          <t>PO1892548</t>
        </is>
      </c>
      <c r="F168" s="14" t="inlineStr">
        <is>
          <t>Hi team, please help me with this portal upload. Thanks!</t>
        </is>
      </c>
      <c r="G168" s="14" t="inlineStr">
        <is>
          <t>Daniela Gomez Viscaino</t>
        </is>
      </c>
      <c r="H168" s="15" t="n">
        <v>46265.5284375</v>
      </c>
      <c r="I168" s="14" t="inlineStr">
        <is>
          <t>white_check_mark</t>
        </is>
      </c>
      <c r="J168" s="14" t="inlineStr">
        <is>
          <t>✅</t>
        </is>
      </c>
      <c r="K168" s="14" t="inlineStr">
        <is>
          <t>@dreimers</t>
        </is>
      </c>
      <c r="L168" s="14" t="inlineStr">
        <is>
          <t>@dreimers</t>
        </is>
      </c>
      <c r="M168" s="15" t="n">
        <v>46265.80060185185</v>
      </c>
      <c r="N168" s="14" t="inlineStr">
        <is>
          <t>0 days 6 hrs</t>
        </is>
      </c>
    </row>
    <row r="169">
      <c r="A169" s="14" t="inlineStr">
        <is>
          <t>https://qualtrics.slack.com/archives/C02KP7NE6FP/p1788368921014649</t>
        </is>
      </c>
      <c r="B169" s="14" t="n"/>
      <c r="C169" s="14" t="inlineStr">
        <is>
          <t>11,050.00 EUR</t>
        </is>
      </c>
      <c r="D169" s="14" t="inlineStr">
        <is>
          <t>Coupa</t>
        </is>
      </c>
      <c r="E169" s="14" t="inlineStr">
        <is>
          <t>E006352339</t>
        </is>
      </c>
      <c r="F169" s="14" t="inlineStr">
        <is>
          <t>Hello team, the customer shared a PO via coupa. Could you help me approve it on the platform if needed? Here is the ticket ZZ_F88A4E5A9EDF4824 in case you need additional info and the link: https://sanofi.coupahost.com/supplier_order_headers/view_po_via_email/0595a3fff7a56f5e38ef07c0acf5140f9dfd8fb4</t>
        </is>
      </c>
      <c r="G169" s="14" t="inlineStr">
        <is>
          <t>Mario Cortés</t>
        </is>
      </c>
      <c r="H169" s="15" t="n">
        <v>46267.4621412037</v>
      </c>
      <c r="I169" s="14" t="n"/>
      <c r="J169" s="14" t="n"/>
      <c r="K169" s="14" t="n"/>
      <c r="L169" s="14" t="n"/>
      <c r="M169" s="14" t="n"/>
      <c r="N169" s="1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16" t="inlineStr">
        <is>
          <t>Emoji</t>
        </is>
      </c>
      <c r="B1" s="16" t="inlineStr">
        <is>
          <t>Meaning</t>
        </is>
      </c>
    </row>
    <row r="2">
      <c r="A2" s="14" t="inlineStr">
        <is>
          <t>👀</t>
        </is>
      </c>
      <c r="B2" s="14" t="inlineStr">
        <is>
          <t>Pending review</t>
        </is>
      </c>
    </row>
    <row r="3">
      <c r="A3" s="14" t="inlineStr">
        <is>
          <t>🔥</t>
        </is>
      </c>
      <c r="B3" s="14" t="inlineStr">
        <is>
          <t>Priority (&gt;100K)</t>
        </is>
      </c>
    </row>
    <row r="4">
      <c r="A4" s="14" t="inlineStr">
        <is>
          <t>❓</t>
        </is>
      </c>
      <c r="B4" s="14" t="inlineStr">
        <is>
          <t>Waiting for info</t>
        </is>
      </c>
    </row>
    <row r="5">
      <c r="A5" s="14" t="inlineStr">
        <is>
          <t>✅</t>
        </is>
      </c>
      <c r="B5" s="14" t="inlineStr">
        <is>
          <t>Completed</t>
        </is>
      </c>
    </row>
    <row r="6">
      <c r="A6" s="14" t="n"/>
      <c r="B6" s="14" t="n"/>
    </row>
    <row r="7">
      <c r="A7" s="14" t="n"/>
      <c r="B7" s="14" t="n"/>
    </row>
    <row r="8">
      <c r="A8" s="14" t="n"/>
      <c r="B8" s="14" t="n"/>
    </row>
    <row r="9">
      <c r="A9" s="14" t="n"/>
      <c r="B9" s="14" t="n"/>
    </row>
    <row r="10">
      <c r="A10" s="14" t="n"/>
      <c r="B10" s="14" t="n"/>
    </row>
    <row r="11">
      <c r="A11" s="14" t="n"/>
      <c r="B11" s="14" t="n"/>
    </row>
    <row r="12">
      <c r="A12" s="14" t="n"/>
      <c r="B12" s="14" t="n"/>
    </row>
    <row r="13">
      <c r="A13" s="14" t="n"/>
      <c r="B13" s="1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9"/>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6" customWidth="1" min="3" max="3"/>
    <col width="20" customWidth="1" min="4" max="4"/>
    <col width="20" customWidth="1" min="5" max="5"/>
    <col width="15" customWidth="1" min="6" max="6"/>
    <col width="15" customWidth="1" min="7" max="7"/>
    <col width="10" customWidth="1" min="8" max="8"/>
    <col width="18" customWidth="1" min="9" max="9"/>
  </cols>
  <sheetData>
    <row r="1">
      <c r="A1" s="4" t="inlineStr">
        <is>
          <t>Invoice Number</t>
        </is>
      </c>
      <c r="B1" s="4" t="inlineStr">
        <is>
          <t>Submitted By</t>
        </is>
      </c>
      <c r="C1" s="4" t="inlineStr">
        <is>
          <t>Collector assigned</t>
        </is>
      </c>
      <c r="D1" s="4" t="inlineStr">
        <is>
          <t>Submit Timestamp</t>
        </is>
      </c>
      <c r="E1" s="4" t="inlineStr">
        <is>
          <t>Resolved Timestamp</t>
        </is>
      </c>
      <c r="F1" s="4" t="inlineStr">
        <is>
          <t>Resolution (hrs)</t>
        </is>
      </c>
      <c r="G1" s="4" t="inlineStr">
        <is>
          <t>Resolution (dias)</t>
        </is>
      </c>
      <c r="H1" s="4" t="inlineStr">
        <is>
          <t>Mes</t>
        </is>
      </c>
      <c r="I1" s="4" t="inlineStr">
        <is>
          <t>Portal (norm.)</t>
        </is>
      </c>
    </row>
    <row r="2">
      <c r="A2" s="12" t="inlineStr">
        <is>
          <t>test</t>
        </is>
      </c>
      <c r="B2" s="12" t="inlineStr">
        <is>
          <t>Alejandra Mendoza</t>
        </is>
      </c>
      <c r="C2" s="12" t="inlineStr"/>
      <c r="D2" s="17" t="n">
        <v>46013.89421296296</v>
      </c>
      <c r="E2" s="17" t="n"/>
      <c r="F2" s="7" t="n"/>
      <c r="G2" s="7" t="n"/>
      <c r="H2" s="18" t="inlineStr">
        <is>
          <t>2025-12</t>
        </is>
      </c>
      <c r="I2" s="12" t="inlineStr">
        <is>
          <t>Sin dato</t>
        </is>
      </c>
    </row>
    <row r="3">
      <c r="A3" s="12" t="inlineStr">
        <is>
          <t>QILNEW1915</t>
        </is>
      </c>
      <c r="B3" s="12" t="inlineStr">
        <is>
          <t>Alejandra Mendoza</t>
        </is>
      </c>
      <c r="C3" s="12" t="inlineStr">
        <is>
          <t>@dreimers</t>
        </is>
      </c>
      <c r="D3" s="17" t="n">
        <v>46175.57368055556</v>
      </c>
      <c r="E3" s="17" t="n">
        <v>46176.46725694444</v>
      </c>
      <c r="F3" s="7" t="n">
        <v>21.4</v>
      </c>
      <c r="G3" s="7" t="n">
        <v>0.9</v>
      </c>
      <c r="H3" s="18" t="inlineStr">
        <is>
          <t>2026-06</t>
        </is>
      </c>
      <c r="I3" s="12" t="inlineStr">
        <is>
          <t>Bmw Portal</t>
        </is>
      </c>
    </row>
    <row r="4">
      <c r="A4" s="12" t="inlineStr">
        <is>
          <t>INV00020111</t>
        </is>
      </c>
      <c r="B4" s="12" t="inlineStr">
        <is>
          <t>Daniela Gomez Viscaino</t>
        </is>
      </c>
      <c r="C4" s="12" t="inlineStr">
        <is>
          <t>@dreimers</t>
        </is>
      </c>
      <c r="D4" s="17" t="n">
        <v>46176.43505787037</v>
      </c>
      <c r="E4" s="17" t="n">
        <v>46176.56564814815</v>
      </c>
      <c r="F4" s="7" t="n">
        <v>3.1</v>
      </c>
      <c r="G4" s="7" t="n">
        <v>0.1</v>
      </c>
      <c r="H4" s="18" t="inlineStr">
        <is>
          <t>2026-06</t>
        </is>
      </c>
      <c r="I4" s="12" t="inlineStr">
        <is>
          <t>Ariba</t>
        </is>
      </c>
    </row>
    <row r="5">
      <c r="A5" s="12" t="inlineStr">
        <is>
          <t>Not Generated</t>
        </is>
      </c>
      <c r="B5" s="12" t="inlineStr">
        <is>
          <t>Kaushal Hogade</t>
        </is>
      </c>
      <c r="C5" s="12" t="inlineStr">
        <is>
          <t>@dreimers</t>
        </is>
      </c>
      <c r="D5" s="17" t="n">
        <v>46176.46344907407</v>
      </c>
      <c r="E5" s="17" t="n">
        <v>46177.52550925926</v>
      </c>
      <c r="F5" s="7" t="n">
        <v>25.5</v>
      </c>
      <c r="G5" s="7" t="n">
        <v>1.1</v>
      </c>
      <c r="H5" s="18" t="inlineStr">
        <is>
          <t>2026-06</t>
        </is>
      </c>
      <c r="I5" s="12" t="inlineStr">
        <is>
          <t>Chorus Pro</t>
        </is>
      </c>
    </row>
    <row r="6">
      <c r="A6" s="12" t="inlineStr">
        <is>
          <t>INV00019964</t>
        </is>
      </c>
      <c r="B6" s="12" t="inlineStr">
        <is>
          <t>Daniela Gomez Viscaino</t>
        </is>
      </c>
      <c r="C6" s="12" t="inlineStr">
        <is>
          <t>@dreimers</t>
        </is>
      </c>
      <c r="D6" s="17" t="n">
        <v>46176.56909722222</v>
      </c>
      <c r="E6" s="17" t="n">
        <v>46177.51328703704</v>
      </c>
      <c r="F6" s="7" t="n">
        <v>22.7</v>
      </c>
      <c r="G6" s="7" t="n">
        <v>0.9</v>
      </c>
      <c r="H6" s="18" t="inlineStr">
        <is>
          <t>2026-06</t>
        </is>
      </c>
      <c r="I6" s="12" t="inlineStr">
        <is>
          <t>Coupa</t>
        </is>
      </c>
    </row>
    <row r="7">
      <c r="A7" s="12" t="inlineStr">
        <is>
          <t>469020</t>
        </is>
      </c>
      <c r="B7" s="12" t="inlineStr">
        <is>
          <t>Maria Granja</t>
        </is>
      </c>
      <c r="C7" s="12" t="inlineStr">
        <is>
          <t>@dreimers</t>
        </is>
      </c>
      <c r="D7" s="17" t="n">
        <v>46177.63385416667</v>
      </c>
      <c r="E7" s="17" t="n">
        <v>46178.41920138889</v>
      </c>
      <c r="F7" s="7" t="n">
        <v>18.8</v>
      </c>
      <c r="G7" s="7" t="n">
        <v>0.8</v>
      </c>
      <c r="H7" s="18" t="inlineStr">
        <is>
          <t>2026-06</t>
        </is>
      </c>
      <c r="I7" s="12" t="inlineStr">
        <is>
          <t>Ariba</t>
        </is>
      </c>
    </row>
    <row r="8">
      <c r="A8" s="12" t="inlineStr">
        <is>
          <t>468868</t>
        </is>
      </c>
      <c r="B8" s="12" t="inlineStr">
        <is>
          <t>Ashley Hudson</t>
        </is>
      </c>
      <c r="C8" s="12" t="inlineStr">
        <is>
          <t>@dreimers</t>
        </is>
      </c>
      <c r="D8" s="17" t="n">
        <v>46177.95206018518</v>
      </c>
      <c r="E8" s="17" t="n">
        <v>46197.53972222222</v>
      </c>
      <c r="F8" s="7" t="n">
        <v>470.1</v>
      </c>
      <c r="G8" s="7" t="n">
        <v>19.6</v>
      </c>
      <c r="H8" s="18" t="inlineStr">
        <is>
          <t>2026-06</t>
        </is>
      </c>
      <c r="I8" s="12" t="inlineStr">
        <is>
          <t>Ariba</t>
        </is>
      </c>
    </row>
    <row r="9">
      <c r="A9" s="12" t="inlineStr">
        <is>
          <t>INV00020070 / INV00020071 / INV00020069 / 469136</t>
        </is>
      </c>
      <c r="B9" s="12" t="inlineStr">
        <is>
          <t>Ashley Hudson</t>
        </is>
      </c>
      <c r="C9" s="12" t="inlineStr">
        <is>
          <t>@dreimers</t>
        </is>
      </c>
      <c r="D9" s="17" t="n">
        <v>46178.05136574074</v>
      </c>
      <c r="E9" s="17" t="n">
        <v>46178.56423611111</v>
      </c>
      <c r="F9" s="7" t="n">
        <v>12.3</v>
      </c>
      <c r="G9" s="7" t="n">
        <v>0.5</v>
      </c>
      <c r="H9" s="18" t="inlineStr">
        <is>
          <t>2026-06</t>
        </is>
      </c>
      <c r="I9" s="12" t="inlineStr">
        <is>
          <t>Taulia</t>
        </is>
      </c>
    </row>
    <row r="10">
      <c r="A10" s="12" t="inlineStr"/>
      <c r="B10" s="12" t="inlineStr">
        <is>
          <t>Pamella Covarrubias</t>
        </is>
      </c>
      <c r="C10" s="12" t="inlineStr">
        <is>
          <t>@dreimers</t>
        </is>
      </c>
      <c r="D10" s="17" t="n">
        <v>46178.56515046296</v>
      </c>
      <c r="E10" s="17" t="n">
        <v>46178.60672453704</v>
      </c>
      <c r="F10" s="7" t="n">
        <v>1</v>
      </c>
      <c r="G10" s="7" t="n">
        <v>0</v>
      </c>
      <c r="H10" s="18" t="inlineStr">
        <is>
          <t>2026-06</t>
        </is>
      </c>
      <c r="I10" s="12" t="inlineStr">
        <is>
          <t>Ariba</t>
        </is>
      </c>
    </row>
    <row r="11">
      <c r="A11" s="12" t="inlineStr">
        <is>
          <t>466580</t>
        </is>
      </c>
      <c r="B11" s="12" t="inlineStr">
        <is>
          <t>Nikhil Anjikar</t>
        </is>
      </c>
      <c r="C11" s="12" t="inlineStr">
        <is>
          <t>@dreimers</t>
        </is>
      </c>
      <c r="D11" s="17" t="n">
        <v>46178.58784722222</v>
      </c>
      <c r="E11" s="17" t="n">
        <v>46183.64862268518</v>
      </c>
      <c r="F11" s="7" t="n">
        <v>121.5</v>
      </c>
      <c r="G11" s="7" t="n">
        <v>5.1</v>
      </c>
      <c r="H11" s="18" t="inlineStr">
        <is>
          <t>2026-06</t>
        </is>
      </c>
      <c r="I11" s="12" t="inlineStr">
        <is>
          <t>Portal por URL</t>
        </is>
      </c>
    </row>
    <row r="12">
      <c r="A12" s="12" t="inlineStr">
        <is>
          <t>INV00020293</t>
        </is>
      </c>
      <c r="B12" s="12" t="inlineStr">
        <is>
          <t>Daniela Gomez Viscaino</t>
        </is>
      </c>
      <c r="C12" s="12" t="inlineStr">
        <is>
          <t>@dreimers</t>
        </is>
      </c>
      <c r="D12" s="17" t="n">
        <v>46181.57627314814</v>
      </c>
      <c r="E12" s="17" t="n">
        <v>46182.33144675926</v>
      </c>
      <c r="F12" s="7" t="n">
        <v>18.1</v>
      </c>
      <c r="G12" s="7" t="n">
        <v>0.8</v>
      </c>
      <c r="H12" s="18" t="inlineStr">
        <is>
          <t>2026-06</t>
        </is>
      </c>
      <c r="I12" s="12" t="inlineStr">
        <is>
          <t>Google</t>
        </is>
      </c>
    </row>
    <row r="13">
      <c r="A13" s="12" t="inlineStr">
        <is>
          <t>unknown</t>
        </is>
      </c>
      <c r="B13" s="12" t="inlineStr">
        <is>
          <t>Eduardo Rivera</t>
        </is>
      </c>
      <c r="C13" s="12" t="inlineStr">
        <is>
          <t>@dreimers</t>
        </is>
      </c>
      <c r="D13" s="17" t="n">
        <v>46183.52278935185</v>
      </c>
      <c r="E13" s="17" t="n">
        <v>46183.6115162037</v>
      </c>
      <c r="F13" s="7" t="n">
        <v>2.1</v>
      </c>
      <c r="G13" s="7" t="n">
        <v>0.1</v>
      </c>
      <c r="H13" s="18" t="inlineStr">
        <is>
          <t>2026-06</t>
        </is>
      </c>
      <c r="I13" s="12" t="inlineStr">
        <is>
          <t>Coupa</t>
        </is>
      </c>
    </row>
    <row r="14">
      <c r="A14" s="12" t="inlineStr">
        <is>
          <t>470660</t>
        </is>
      </c>
      <c r="B14" s="12" t="inlineStr">
        <is>
          <t>Jose Novelo</t>
        </is>
      </c>
      <c r="C14" s="12" t="inlineStr">
        <is>
          <t>@dreimers</t>
        </is>
      </c>
      <c r="D14" s="17" t="n">
        <v>46183.68313657407</v>
      </c>
      <c r="E14" s="17" t="n">
        <v>46197.54549768518</v>
      </c>
      <c r="F14" s="7" t="n">
        <v>332.7</v>
      </c>
      <c r="G14" s="7" t="n">
        <v>13.9</v>
      </c>
      <c r="H14" s="18" t="inlineStr">
        <is>
          <t>2026-06</t>
        </is>
      </c>
      <c r="I14" s="12" t="inlineStr">
        <is>
          <t>Coupa</t>
        </is>
      </c>
    </row>
    <row r="15">
      <c r="A15" s="12" t="inlineStr">
        <is>
          <t>470678</t>
        </is>
      </c>
      <c r="B15" s="12" t="inlineStr">
        <is>
          <t>Jose Novelo</t>
        </is>
      </c>
      <c r="C15" s="12" t="inlineStr">
        <is>
          <t>@dreimers</t>
        </is>
      </c>
      <c r="D15" s="17" t="n">
        <v>46183.68783564815</v>
      </c>
      <c r="E15" s="17" t="n">
        <v>46185.421875</v>
      </c>
      <c r="F15" s="7" t="n">
        <v>41.6</v>
      </c>
      <c r="G15" s="7" t="n">
        <v>1.7</v>
      </c>
      <c r="H15" s="18" t="inlineStr">
        <is>
          <t>2026-06</t>
        </is>
      </c>
      <c r="I15" s="12" t="inlineStr">
        <is>
          <t>Awrostamani Portal</t>
        </is>
      </c>
    </row>
    <row r="16">
      <c r="A16" s="12" t="inlineStr">
        <is>
          <t>462239</t>
        </is>
      </c>
      <c r="B16" s="12" t="inlineStr">
        <is>
          <t>Saiyon Tanaka</t>
        </is>
      </c>
      <c r="C16" s="12" t="inlineStr">
        <is>
          <t>@dreimers</t>
        </is>
      </c>
      <c r="D16" s="17" t="n">
        <v>46184.9843287037</v>
      </c>
      <c r="E16" s="17" t="n">
        <v>46185.48872685185</v>
      </c>
      <c r="F16" s="7" t="n">
        <v>12.1</v>
      </c>
      <c r="G16" s="7" t="n">
        <v>0.5</v>
      </c>
      <c r="H16" s="18" t="inlineStr">
        <is>
          <t>2026-06</t>
        </is>
      </c>
      <c r="I16" s="12" t="inlineStr">
        <is>
          <t>Coupa</t>
        </is>
      </c>
    </row>
    <row r="17">
      <c r="A17" s="12" t="inlineStr">
        <is>
          <t>INV00020633</t>
        </is>
      </c>
      <c r="B17" s="12" t="inlineStr">
        <is>
          <t>Daniela Gomez Viscaino</t>
        </is>
      </c>
      <c r="C17" s="12" t="inlineStr">
        <is>
          <t>@dreimers</t>
        </is>
      </c>
      <c r="D17" s="17" t="n">
        <v>46185.51924768519</v>
      </c>
      <c r="E17" s="17" t="n">
        <v>46197.5468287037</v>
      </c>
      <c r="F17" s="7" t="n">
        <v>288.7</v>
      </c>
      <c r="G17" s="7" t="n">
        <v>12</v>
      </c>
      <c r="H17" s="18" t="inlineStr">
        <is>
          <t>2026-06</t>
        </is>
      </c>
      <c r="I17" s="12" t="inlineStr">
        <is>
          <t>Ariba</t>
        </is>
      </c>
    </row>
    <row r="18">
      <c r="A18" s="12" t="inlineStr">
        <is>
          <t>#464499</t>
        </is>
      </c>
      <c r="B18" s="12" t="inlineStr">
        <is>
          <t>Emma Günther</t>
        </is>
      </c>
      <c r="C18" s="12" t="inlineStr">
        <is>
          <t>@dreimers</t>
        </is>
      </c>
      <c r="D18" s="17" t="n">
        <v>46188.12621527778</v>
      </c>
      <c r="E18" s="17" t="n">
        <v>46192.57513888889</v>
      </c>
      <c r="F18" s="7" t="n">
        <v>106.8</v>
      </c>
      <c r="G18" s="7" t="n">
        <v>4.4</v>
      </c>
      <c r="H18" s="18" t="inlineStr">
        <is>
          <t>2026-06</t>
        </is>
      </c>
      <c r="I18" s="12" t="inlineStr">
        <is>
          <t>Ariba</t>
        </is>
      </c>
    </row>
    <row r="19">
      <c r="A19" s="12" t="inlineStr">
        <is>
          <t>INV00020140</t>
        </is>
      </c>
      <c r="B19" s="12" t="inlineStr">
        <is>
          <t>Fabrizio Rico del Mazo</t>
        </is>
      </c>
      <c r="C19" s="12" t="inlineStr">
        <is>
          <t>@dreimers</t>
        </is>
      </c>
      <c r="D19" s="17" t="n">
        <v>46188.43354166667</v>
      </c>
      <c r="E19" s="17" t="n">
        <v>46197.55075231481</v>
      </c>
      <c r="F19" s="7" t="n">
        <v>218.8</v>
      </c>
      <c r="G19" s="7" t="n">
        <v>9.1</v>
      </c>
      <c r="H19" s="18" t="inlineStr">
        <is>
          <t>2026-06</t>
        </is>
      </c>
      <c r="I19" s="12" t="inlineStr">
        <is>
          <t>Peppol</t>
        </is>
      </c>
    </row>
    <row r="20">
      <c r="A20" s="12" t="inlineStr">
        <is>
          <t>INV00020695</t>
        </is>
      </c>
      <c r="B20" s="12" t="inlineStr">
        <is>
          <t>Daniela Gomez Viscaino</t>
        </is>
      </c>
      <c r="C20" s="12" t="inlineStr">
        <is>
          <t>@aprilj</t>
        </is>
      </c>
      <c r="D20" s="17" t="n">
        <v>46188.65450231481</v>
      </c>
      <c r="E20" s="17" t="n">
        <v>46189.31497685185</v>
      </c>
      <c r="F20" s="7" t="n">
        <v>15.9</v>
      </c>
      <c r="G20" s="7" t="n">
        <v>0.7</v>
      </c>
      <c r="H20" s="18" t="inlineStr">
        <is>
          <t>2026-06</t>
        </is>
      </c>
      <c r="I20" s="12" t="inlineStr">
        <is>
          <t>Ariba</t>
        </is>
      </c>
    </row>
    <row r="21">
      <c r="A21" s="12" t="inlineStr">
        <is>
          <t>INV00020722</t>
        </is>
      </c>
      <c r="B21" s="12" t="inlineStr">
        <is>
          <t>Daniela Gomez Viscaino</t>
        </is>
      </c>
      <c r="C21" s="12" t="inlineStr">
        <is>
          <t>@aprilj</t>
        </is>
      </c>
      <c r="D21" s="17" t="n">
        <v>46188.6594675926</v>
      </c>
      <c r="E21" s="17" t="n">
        <v>46189.31778935185</v>
      </c>
      <c r="F21" s="7" t="n">
        <v>15.8</v>
      </c>
      <c r="G21" s="7" t="n">
        <v>0.7</v>
      </c>
      <c r="H21" s="18" t="inlineStr">
        <is>
          <t>2026-06</t>
        </is>
      </c>
      <c r="I21" s="12" t="inlineStr">
        <is>
          <t>Ariba</t>
        </is>
      </c>
    </row>
    <row r="22">
      <c r="A22" s="12" t="inlineStr">
        <is>
          <t>INV00020373</t>
        </is>
      </c>
      <c r="B22" s="12" t="inlineStr">
        <is>
          <t>Daniela Gomez Viscaino</t>
        </is>
      </c>
      <c r="C22" s="12" t="inlineStr">
        <is>
          <t>@aprilj</t>
        </is>
      </c>
      <c r="D22" s="17" t="n">
        <v>46188.66981481481</v>
      </c>
      <c r="E22" s="17" t="n">
        <v>46189.33142361111</v>
      </c>
      <c r="F22" s="7" t="n">
        <v>15.9</v>
      </c>
      <c r="G22" s="7" t="n">
        <v>0.7</v>
      </c>
      <c r="H22" s="18" t="inlineStr">
        <is>
          <t>2026-06</t>
        </is>
      </c>
      <c r="I22" s="12" t="inlineStr">
        <is>
          <t>Coupa</t>
        </is>
      </c>
    </row>
    <row r="23">
      <c r="A23" s="12" t="inlineStr">
        <is>
          <t>470845</t>
        </is>
      </c>
      <c r="B23" s="12" t="inlineStr">
        <is>
          <t>Fabrizio Rico del Mazo</t>
        </is>
      </c>
      <c r="C23" s="12" t="inlineStr">
        <is>
          <t>@dreimers</t>
        </is>
      </c>
      <c r="D23" s="17" t="n">
        <v>46189.41263888889</v>
      </c>
      <c r="E23" s="17" t="n">
        <v>46202.489375</v>
      </c>
      <c r="F23" s="7" t="n">
        <v>313.8</v>
      </c>
      <c r="G23" s="7" t="n">
        <v>13.1</v>
      </c>
      <c r="H23" s="18" t="inlineStr">
        <is>
          <t>2026-06</t>
        </is>
      </c>
      <c r="I23" s="12" t="inlineStr">
        <is>
          <t>Portal por URL</t>
        </is>
      </c>
    </row>
    <row r="24">
      <c r="A24" s="12" t="inlineStr">
        <is>
          <t>INV00020793</t>
        </is>
      </c>
      <c r="B24" s="12" t="inlineStr">
        <is>
          <t>Diego Cué Vázquez</t>
        </is>
      </c>
      <c r="C24" s="12" t="inlineStr">
        <is>
          <t>@dreimers</t>
        </is>
      </c>
      <c r="D24" s="17" t="n">
        <v>46189.52178240741</v>
      </c>
      <c r="E24" s="17" t="n">
        <v>46190.38052083334</v>
      </c>
      <c r="F24" s="7" t="n">
        <v>20.6</v>
      </c>
      <c r="G24" s="7" t="n">
        <v>0.9</v>
      </c>
      <c r="H24" s="18" t="inlineStr">
        <is>
          <t>2026-06</t>
        </is>
      </c>
      <c r="I24" s="12" t="inlineStr">
        <is>
          <t>Microsoft</t>
        </is>
      </c>
    </row>
    <row r="25">
      <c r="A25" s="12" t="inlineStr">
        <is>
          <t>INV00020795</t>
        </is>
      </c>
      <c r="B25" s="12" t="inlineStr">
        <is>
          <t>Diego Cué Vázquez</t>
        </is>
      </c>
      <c r="C25" s="12" t="inlineStr">
        <is>
          <t>@dreimers</t>
        </is>
      </c>
      <c r="D25" s="17" t="n">
        <v>46189.5277662037</v>
      </c>
      <c r="E25" s="17" t="n">
        <v>46190.38048611111</v>
      </c>
      <c r="F25" s="7" t="n">
        <v>20.5</v>
      </c>
      <c r="G25" s="7" t="n">
        <v>0.9</v>
      </c>
      <c r="H25" s="18" t="inlineStr">
        <is>
          <t>2026-06</t>
        </is>
      </c>
      <c r="I25" s="12" t="inlineStr">
        <is>
          <t>Microsoft</t>
        </is>
      </c>
    </row>
    <row r="26">
      <c r="A26" s="12" t="inlineStr">
        <is>
          <t>INV00020920</t>
        </is>
      </c>
      <c r="B26" s="12" t="inlineStr">
        <is>
          <t>Andrea Juarez</t>
        </is>
      </c>
      <c r="C26" s="12" t="inlineStr">
        <is>
          <t>@dreimers</t>
        </is>
      </c>
      <c r="D26" s="17" t="n">
        <v>46190.57498842593</v>
      </c>
      <c r="E26" s="17" t="n">
        <v>46190.58262731481</v>
      </c>
      <c r="F26" s="7" t="n">
        <v>0.2</v>
      </c>
      <c r="G26" s="7" t="n">
        <v>0</v>
      </c>
      <c r="H26" s="18" t="inlineStr">
        <is>
          <t>2026-06</t>
        </is>
      </c>
      <c r="I26" s="12" t="inlineStr">
        <is>
          <t>Coupa</t>
        </is>
      </c>
    </row>
    <row r="27">
      <c r="A27" s="12" t="inlineStr">
        <is>
          <t>INV00020933</t>
        </is>
      </c>
      <c r="B27" s="12" t="inlineStr">
        <is>
          <t>Andrea Juarez</t>
        </is>
      </c>
      <c r="C27" s="12" t="inlineStr">
        <is>
          <t>@dreimers</t>
        </is>
      </c>
      <c r="D27" s="17" t="n">
        <v>46191.40704861111</v>
      </c>
      <c r="E27" s="17" t="n">
        <v>46191.42747685185</v>
      </c>
      <c r="F27" s="7" t="n">
        <v>0.5</v>
      </c>
      <c r="G27" s="7" t="n">
        <v>0</v>
      </c>
      <c r="H27" s="18" t="inlineStr">
        <is>
          <t>2026-06</t>
        </is>
      </c>
      <c r="I27" s="12" t="inlineStr">
        <is>
          <t>Ariba</t>
        </is>
      </c>
    </row>
    <row r="28">
      <c r="A28" s="12" t="inlineStr">
        <is>
          <t>470501</t>
        </is>
      </c>
      <c r="B28" s="12" t="inlineStr">
        <is>
          <t>Erika Sorrell</t>
        </is>
      </c>
      <c r="C28" s="12" t="inlineStr">
        <is>
          <t>@aprilj</t>
        </is>
      </c>
      <c r="D28" s="17" t="n">
        <v>46191.48587962963</v>
      </c>
      <c r="E28" s="17" t="n">
        <v>46191.56158564815</v>
      </c>
      <c r="F28" s="7" t="n">
        <v>1.8</v>
      </c>
      <c r="G28" s="7" t="n">
        <v>0.1</v>
      </c>
      <c r="H28" s="18" t="inlineStr">
        <is>
          <t>2026-06</t>
        </is>
      </c>
      <c r="I28" s="12" t="inlineStr">
        <is>
          <t>Transcepta</t>
        </is>
      </c>
    </row>
    <row r="29">
      <c r="A29" s="12" t="inlineStr">
        <is>
          <t>INV00020607</t>
        </is>
      </c>
      <c r="B29" s="12" t="inlineStr">
        <is>
          <t>Alejandro Salazar Copado</t>
        </is>
      </c>
      <c r="C29" s="12" t="inlineStr">
        <is>
          <t>@dreimers</t>
        </is>
      </c>
      <c r="D29" s="17" t="n">
        <v>46191.52921296296</v>
      </c>
      <c r="E29" s="17" t="n">
        <v>46191.55452546296</v>
      </c>
      <c r="F29" s="7" t="n">
        <v>0.6</v>
      </c>
      <c r="G29" s="7" t="n">
        <v>0</v>
      </c>
      <c r="H29" s="18" t="inlineStr">
        <is>
          <t>2026-06</t>
        </is>
      </c>
      <c r="I29" s="12" t="inlineStr">
        <is>
          <t>Coupa</t>
        </is>
      </c>
    </row>
    <row r="30">
      <c r="A30" s="12" t="inlineStr">
        <is>
          <t>INV00021001</t>
        </is>
      </c>
      <c r="B30" s="12" t="inlineStr">
        <is>
          <t>Diego Cué Vázquez</t>
        </is>
      </c>
      <c r="C30" s="12" t="inlineStr">
        <is>
          <t>@dreimers</t>
        </is>
      </c>
      <c r="D30" s="17" t="n">
        <v>46191.57199074074</v>
      </c>
      <c r="E30" s="17" t="n">
        <v>46191.60738425926</v>
      </c>
      <c r="F30" s="7" t="n">
        <v>0.8</v>
      </c>
      <c r="G30" s="7" t="n">
        <v>0</v>
      </c>
      <c r="H30" s="18" t="inlineStr">
        <is>
          <t>2026-06</t>
        </is>
      </c>
      <c r="I30" s="12" t="inlineStr">
        <is>
          <t>Suppplier Connect</t>
        </is>
      </c>
    </row>
    <row r="31">
      <c r="A31" s="12" t="inlineStr">
        <is>
          <t>INV00020899</t>
        </is>
      </c>
      <c r="B31" s="12" t="inlineStr">
        <is>
          <t>Daniela Gomez Viscaino</t>
        </is>
      </c>
      <c r="C31" s="12" t="inlineStr">
        <is>
          <t>@dreimers</t>
        </is>
      </c>
      <c r="D31" s="17" t="n">
        <v>46192.44603009259</v>
      </c>
      <c r="E31" s="17" t="n">
        <v>46197.55138888889</v>
      </c>
      <c r="F31" s="7" t="n">
        <v>122.5</v>
      </c>
      <c r="G31" s="7" t="n">
        <v>5.1</v>
      </c>
      <c r="H31" s="18" t="inlineStr">
        <is>
          <t>2026-06</t>
        </is>
      </c>
      <c r="I31" s="12" t="inlineStr">
        <is>
          <t>Ariba</t>
        </is>
      </c>
    </row>
    <row r="32">
      <c r="A32" s="12" t="inlineStr">
        <is>
          <t>INV00020931</t>
        </is>
      </c>
      <c r="B32" s="12" t="inlineStr">
        <is>
          <t>Andrea Juarez</t>
        </is>
      </c>
      <c r="C32" s="12" t="inlineStr">
        <is>
          <t>@dreimers</t>
        </is>
      </c>
      <c r="D32" s="17" t="n">
        <v>46192.48368055555</v>
      </c>
      <c r="E32" s="17" t="n">
        <v>46192.5315162037</v>
      </c>
      <c r="F32" s="7" t="n">
        <v>1.1</v>
      </c>
      <c r="G32" s="7" t="n">
        <v>0</v>
      </c>
      <c r="H32" s="18" t="inlineStr">
        <is>
          <t>2026-06</t>
        </is>
      </c>
      <c r="I32" s="12" t="inlineStr">
        <is>
          <t>Coupa</t>
        </is>
      </c>
    </row>
    <row r="33">
      <c r="A33" s="12" t="inlineStr">
        <is>
          <t>INV00020933</t>
        </is>
      </c>
      <c r="B33" s="12" t="inlineStr">
        <is>
          <t>Daniela Gomez Viscaino</t>
        </is>
      </c>
      <c r="C33" s="12" t="inlineStr">
        <is>
          <t>@dreimers</t>
        </is>
      </c>
      <c r="D33" s="17" t="n">
        <v>46192.63074074074</v>
      </c>
      <c r="E33" s="17" t="n">
        <v>46195.41001157407</v>
      </c>
      <c r="F33" s="7" t="n">
        <v>66.7</v>
      </c>
      <c r="G33" s="7" t="n">
        <v>2.8</v>
      </c>
      <c r="H33" s="18" t="inlineStr">
        <is>
          <t>2026-06</t>
        </is>
      </c>
      <c r="I33" s="12" t="inlineStr">
        <is>
          <t>Ariba</t>
        </is>
      </c>
    </row>
    <row r="34">
      <c r="A34" s="12" t="inlineStr">
        <is>
          <t>INV00020931</t>
        </is>
      </c>
      <c r="B34" s="12" t="inlineStr">
        <is>
          <t>Daniela Gomez Viscaino</t>
        </is>
      </c>
      <c r="C34" s="12" t="inlineStr">
        <is>
          <t>@dreimers</t>
        </is>
      </c>
      <c r="D34" s="17" t="n">
        <v>46192.64016203704</v>
      </c>
      <c r="E34" s="17" t="n">
        <v>46195.42172453704</v>
      </c>
      <c r="F34" s="7" t="n">
        <v>66.8</v>
      </c>
      <c r="G34" s="7" t="n">
        <v>2.8</v>
      </c>
      <c r="H34" s="18" t="inlineStr">
        <is>
          <t>2026-06</t>
        </is>
      </c>
      <c r="I34" s="12" t="inlineStr">
        <is>
          <t>Coupa</t>
        </is>
      </c>
    </row>
    <row r="35">
      <c r="A35" s="12" t="inlineStr">
        <is>
          <t>INV00020793</t>
        </is>
      </c>
      <c r="B35" s="12" t="inlineStr">
        <is>
          <t>Daniela Gomez Viscaino</t>
        </is>
      </c>
      <c r="C35" s="12" t="inlineStr">
        <is>
          <t>@dreimers</t>
        </is>
      </c>
      <c r="D35" s="17" t="n">
        <v>46192.64247685186</v>
      </c>
      <c r="E35" s="17" t="n">
        <v>46195.44331018518</v>
      </c>
      <c r="F35" s="7" t="n">
        <v>67.2</v>
      </c>
      <c r="G35" s="7" t="n">
        <v>2.8</v>
      </c>
      <c r="H35" s="18" t="inlineStr">
        <is>
          <t>2026-06</t>
        </is>
      </c>
      <c r="I35" s="12" t="inlineStr">
        <is>
          <t>Microsoft</t>
        </is>
      </c>
    </row>
    <row r="36">
      <c r="A36" s="12" t="inlineStr">
        <is>
          <t>INV00020920</t>
        </is>
      </c>
      <c r="B36" s="12" t="inlineStr">
        <is>
          <t>Daniela Gomez Viscaino</t>
        </is>
      </c>
      <c r="C36" s="12" t="inlineStr">
        <is>
          <t>@dreimers</t>
        </is>
      </c>
      <c r="D36" s="17" t="n">
        <v>46192.64638888889</v>
      </c>
      <c r="E36" s="17" t="n">
        <v>46195.42607638889</v>
      </c>
      <c r="F36" s="7" t="n">
        <v>66.7</v>
      </c>
      <c r="G36" s="7" t="n">
        <v>2.8</v>
      </c>
      <c r="H36" s="18" t="inlineStr">
        <is>
          <t>2026-06</t>
        </is>
      </c>
      <c r="I36" s="12" t="inlineStr">
        <is>
          <t>Coupa</t>
        </is>
      </c>
    </row>
    <row r="37">
      <c r="A37" s="12" t="inlineStr">
        <is>
          <t>INV00020867</t>
        </is>
      </c>
      <c r="B37" s="12" t="inlineStr">
        <is>
          <t>Daniela Gomez Viscaino</t>
        </is>
      </c>
      <c r="C37" s="12" t="inlineStr">
        <is>
          <t>@dreimers</t>
        </is>
      </c>
      <c r="D37" s="17" t="n">
        <v>46192.6684375</v>
      </c>
      <c r="E37" s="17" t="n">
        <v>46195.43376157407</v>
      </c>
      <c r="F37" s="7" t="n">
        <v>66.40000000000001</v>
      </c>
      <c r="G37" s="7" t="n">
        <v>2.8</v>
      </c>
      <c r="H37" s="18" t="inlineStr">
        <is>
          <t>2026-06</t>
        </is>
      </c>
      <c r="I37" s="12" t="inlineStr">
        <is>
          <t>Ariba</t>
        </is>
      </c>
    </row>
    <row r="38">
      <c r="A38" s="12" t="inlineStr">
        <is>
          <t>QILNEW2100</t>
        </is>
      </c>
      <c r="B38" s="12" t="inlineStr">
        <is>
          <t>Yulian Trishch</t>
        </is>
      </c>
      <c r="C38" s="12" t="inlineStr">
        <is>
          <t>@dreimers</t>
        </is>
      </c>
      <c r="D38" s="17" t="n">
        <v>46195.32594907407</v>
      </c>
      <c r="E38" s="17" t="n">
        <v>46195.4491087963</v>
      </c>
      <c r="F38" s="7" t="n">
        <v>3</v>
      </c>
      <c r="G38" s="7" t="n">
        <v>0.1</v>
      </c>
      <c r="H38" s="18" t="inlineStr">
        <is>
          <t>2026-06</t>
        </is>
      </c>
      <c r="I38" s="12" t="inlineStr">
        <is>
          <t>Chorus Pro</t>
        </is>
      </c>
    </row>
    <row r="39">
      <c r="A39" s="12" t="inlineStr">
        <is>
          <t>INV00020373</t>
        </is>
      </c>
      <c r="B39" s="12" t="inlineStr">
        <is>
          <t>Alejandro Salazar Copado</t>
        </is>
      </c>
      <c r="C39" s="12" t="inlineStr">
        <is>
          <t>@dreimers</t>
        </is>
      </c>
      <c r="D39" s="17" t="n">
        <v>46196.52930555555</v>
      </c>
      <c r="E39" s="17" t="n">
        <v>46196.54356481481</v>
      </c>
      <c r="F39" s="7" t="n">
        <v>0.3</v>
      </c>
      <c r="G39" s="7" t="n">
        <v>0</v>
      </c>
      <c r="H39" s="18" t="inlineStr">
        <is>
          <t>2026-06</t>
        </is>
      </c>
      <c r="I39" s="12" t="inlineStr">
        <is>
          <t>Coupa</t>
        </is>
      </c>
    </row>
    <row r="40">
      <c r="A40" s="12" t="inlineStr">
        <is>
          <t>INV00021485</t>
        </is>
      </c>
      <c r="B40" s="12" t="inlineStr">
        <is>
          <t>Daniela Gomez Viscaino</t>
        </is>
      </c>
      <c r="C40" s="12" t="inlineStr">
        <is>
          <t>@dreimers</t>
        </is>
      </c>
      <c r="D40" s="17" t="n">
        <v>46196.58629629629</v>
      </c>
      <c r="E40" s="17" t="n">
        <v>46220.59077546297</v>
      </c>
      <c r="F40" s="7" t="n">
        <v>576.1</v>
      </c>
      <c r="G40" s="7" t="n">
        <v>24</v>
      </c>
      <c r="H40" s="18" t="inlineStr">
        <is>
          <t>2026-06</t>
        </is>
      </c>
      <c r="I40" s="12" t="inlineStr">
        <is>
          <t>Ariba</t>
        </is>
      </c>
    </row>
    <row r="41">
      <c r="A41" s="12" t="inlineStr">
        <is>
          <t>INV00021506</t>
        </is>
      </c>
      <c r="B41" s="12" t="inlineStr">
        <is>
          <t>Daniela Gomez Viscaino</t>
        </is>
      </c>
      <c r="C41" s="12" t="inlineStr">
        <is>
          <t>@dreimers</t>
        </is>
      </c>
      <c r="D41" s="17" t="n">
        <v>46196.58836805556</v>
      </c>
      <c r="E41" s="17" t="n">
        <v>46197.45547453704</v>
      </c>
      <c r="F41" s="7" t="n">
        <v>20.8</v>
      </c>
      <c r="G41" s="7" t="n">
        <v>0.9</v>
      </c>
      <c r="H41" s="18" t="inlineStr">
        <is>
          <t>2026-06</t>
        </is>
      </c>
      <c r="I41" s="12" t="inlineStr">
        <is>
          <t>Ariba</t>
        </is>
      </c>
    </row>
    <row r="42">
      <c r="A42" s="12" t="inlineStr">
        <is>
          <t>INV00020795</t>
        </is>
      </c>
      <c r="B42" s="12" t="inlineStr">
        <is>
          <t>Daniela Gomez Viscaino</t>
        </is>
      </c>
      <c r="C42" s="12" t="inlineStr">
        <is>
          <t>@dreimers</t>
        </is>
      </c>
      <c r="D42" s="17" t="n">
        <v>46196.61299768519</v>
      </c>
      <c r="E42" s="17" t="n">
        <v>46197.46196759259</v>
      </c>
      <c r="F42" s="7" t="n">
        <v>20.4</v>
      </c>
      <c r="G42" s="7" t="n">
        <v>0.8</v>
      </c>
      <c r="H42" s="18" t="inlineStr">
        <is>
          <t>2026-06</t>
        </is>
      </c>
      <c r="I42" s="12" t="inlineStr">
        <is>
          <t>Microsoft</t>
        </is>
      </c>
    </row>
    <row r="43">
      <c r="A43" s="12" t="inlineStr">
        <is>
          <t>INV00021546</t>
        </is>
      </c>
      <c r="B43" s="12" t="inlineStr">
        <is>
          <t>Daniela Gomez Viscaino</t>
        </is>
      </c>
      <c r="C43" s="12" t="inlineStr">
        <is>
          <t>@dreimers</t>
        </is>
      </c>
      <c r="D43" s="17" t="n">
        <v>46196.61972222223</v>
      </c>
      <c r="E43" s="17" t="n">
        <v>46197.46125</v>
      </c>
      <c r="F43" s="7" t="n">
        <v>20.2</v>
      </c>
      <c r="G43" s="7" t="n">
        <v>0.8</v>
      </c>
      <c r="H43" s="18" t="inlineStr">
        <is>
          <t>2026-06</t>
        </is>
      </c>
      <c r="I43" s="12" t="inlineStr">
        <is>
          <t>Coupa</t>
        </is>
      </c>
    </row>
    <row r="44">
      <c r="A44" s="12" t="inlineStr">
        <is>
          <t>INV00021437</t>
        </is>
      </c>
      <c r="B44" s="12" t="inlineStr">
        <is>
          <t>Daniela Gomez Viscaino</t>
        </is>
      </c>
      <c r="C44" s="12" t="inlineStr">
        <is>
          <t>@dreimers</t>
        </is>
      </c>
      <c r="D44" s="17" t="n">
        <v>46196.6259375</v>
      </c>
      <c r="E44" s="17" t="n">
        <v>46197.47481481481</v>
      </c>
      <c r="F44" s="7" t="n">
        <v>20.4</v>
      </c>
      <c r="G44" s="7" t="n">
        <v>0.8</v>
      </c>
      <c r="H44" s="18" t="inlineStr">
        <is>
          <t>2026-06</t>
        </is>
      </c>
      <c r="I44" s="12" t="inlineStr">
        <is>
          <t>Supplier Connect</t>
        </is>
      </c>
    </row>
    <row r="45">
      <c r="A45" s="12" t="inlineStr">
        <is>
          <t>#Q-333765</t>
        </is>
      </c>
      <c r="B45" s="12" t="inlineStr">
        <is>
          <t>Andres Prieto</t>
        </is>
      </c>
      <c r="C45" s="12" t="inlineStr">
        <is>
          <t>@dreimers</t>
        </is>
      </c>
      <c r="D45" s="17" t="n">
        <v>46198.44140046297</v>
      </c>
      <c r="E45" s="17" t="n">
        <v>46198.56770833334</v>
      </c>
      <c r="F45" s="7" t="n">
        <v>3</v>
      </c>
      <c r="G45" s="7" t="n">
        <v>0.1</v>
      </c>
      <c r="H45" s="18" t="inlineStr">
        <is>
          <t>2026-06</t>
        </is>
      </c>
      <c r="I45" s="12" t="inlineStr">
        <is>
          <t>Oracle</t>
        </is>
      </c>
    </row>
    <row r="46">
      <c r="A46" s="12" t="inlineStr">
        <is>
          <t>INV00021651</t>
        </is>
      </c>
      <c r="B46" s="12" t="inlineStr">
        <is>
          <t>Daniela Gomez Viscaino</t>
        </is>
      </c>
      <c r="C46" s="12" t="inlineStr">
        <is>
          <t>@dreimers</t>
        </is>
      </c>
      <c r="D46" s="17" t="n">
        <v>46198.47637731482</v>
      </c>
      <c r="E46" s="17" t="n">
        <v>46198.59099537037</v>
      </c>
      <c r="F46" s="7" t="n">
        <v>2.8</v>
      </c>
      <c r="G46" s="7" t="n">
        <v>0.1</v>
      </c>
      <c r="H46" s="18" t="inlineStr">
        <is>
          <t>2026-06</t>
        </is>
      </c>
      <c r="I46" s="12" t="inlineStr">
        <is>
          <t>Coupa</t>
        </is>
      </c>
    </row>
    <row r="47">
      <c r="A47" s="12" t="inlineStr">
        <is>
          <t>INV00021650</t>
        </is>
      </c>
      <c r="B47" s="12" t="inlineStr">
        <is>
          <t>Maria de Lourdes López Núñez</t>
        </is>
      </c>
      <c r="C47" s="12" t="inlineStr">
        <is>
          <t>@dreimers</t>
        </is>
      </c>
      <c r="D47" s="17" t="n">
        <v>46198.48991898148</v>
      </c>
      <c r="E47" s="17" t="n">
        <v>46198.5740625</v>
      </c>
      <c r="F47" s="7" t="n">
        <v>2</v>
      </c>
      <c r="G47" s="7" t="n">
        <v>0.1</v>
      </c>
      <c r="H47" s="18" t="inlineStr">
        <is>
          <t>2026-06</t>
        </is>
      </c>
      <c r="I47" s="12" t="inlineStr">
        <is>
          <t>Coupa</t>
        </is>
      </c>
    </row>
    <row r="48">
      <c r="A48" s="12" t="inlineStr">
        <is>
          <t>470840</t>
        </is>
      </c>
      <c r="B48" s="12" t="inlineStr">
        <is>
          <t>Kaushal Hogade</t>
        </is>
      </c>
      <c r="C48" s="12" t="inlineStr"/>
      <c r="D48" s="17" t="n">
        <v>46199.16337962963</v>
      </c>
      <c r="E48" s="17" t="n">
        <v>46199.47065972222</v>
      </c>
      <c r="F48" s="7" t="n">
        <v>7.4</v>
      </c>
      <c r="G48" s="7" t="n">
        <v>0.3</v>
      </c>
      <c r="H48" s="18" t="inlineStr">
        <is>
          <t>2026-06</t>
        </is>
      </c>
      <c r="I48" s="12" t="inlineStr">
        <is>
          <t>Chorus Pro</t>
        </is>
      </c>
    </row>
    <row r="49">
      <c r="A49" s="12" t="inlineStr">
        <is>
          <t>2D-21801766</t>
        </is>
      </c>
      <c r="B49" s="12" t="inlineStr">
        <is>
          <t>Imanol Martinez</t>
        </is>
      </c>
      <c r="C49" s="12" t="inlineStr">
        <is>
          <t>@dreimers</t>
        </is>
      </c>
      <c r="D49" s="17" t="n">
        <v>46199.42559027778</v>
      </c>
      <c r="E49" s="17" t="n">
        <v>46199.48798611111</v>
      </c>
      <c r="F49" s="7" t="n">
        <v>1.5</v>
      </c>
      <c r="G49" s="7" t="n">
        <v>0.1</v>
      </c>
      <c r="H49" s="18" t="inlineStr">
        <is>
          <t>2026-06</t>
        </is>
      </c>
      <c r="I49" s="12" t="inlineStr">
        <is>
          <t>Coupa</t>
        </is>
      </c>
    </row>
    <row r="50">
      <c r="A50" s="12" t="inlineStr">
        <is>
          <t>INV00021939</t>
        </is>
      </c>
      <c r="B50" s="12" t="inlineStr">
        <is>
          <t>Andrea Juarez</t>
        </is>
      </c>
      <c r="C50" s="12" t="inlineStr">
        <is>
          <t>@dreimers</t>
        </is>
      </c>
      <c r="D50" s="17" t="n">
        <v>46201.95236111111</v>
      </c>
      <c r="E50" s="17" t="n">
        <v>46202.54658564815</v>
      </c>
      <c r="F50" s="7" t="n">
        <v>14.3</v>
      </c>
      <c r="G50" s="7" t="n">
        <v>0.6</v>
      </c>
      <c r="H50" s="18" t="inlineStr">
        <is>
          <t>2026-06</t>
        </is>
      </c>
      <c r="I50" s="12" t="inlineStr">
        <is>
          <t>Microsoft</t>
        </is>
      </c>
    </row>
    <row r="51">
      <c r="A51" s="12" t="inlineStr">
        <is>
          <t>4500114905</t>
        </is>
      </c>
      <c r="B51" s="12" t="inlineStr">
        <is>
          <t>Eleonora Amarante</t>
        </is>
      </c>
      <c r="C51" s="12" t="inlineStr">
        <is>
          <t>@dreimers</t>
        </is>
      </c>
      <c r="D51" s="17" t="n">
        <v>46202.43835648148</v>
      </c>
      <c r="E51" s="17" t="n">
        <v>46202.5175</v>
      </c>
      <c r="F51" s="7" t="n">
        <v>1.9</v>
      </c>
      <c r="G51" s="7" t="n">
        <v>0.1</v>
      </c>
      <c r="H51" s="18" t="inlineStr">
        <is>
          <t>2026-06</t>
        </is>
      </c>
      <c r="I51" s="12" t="inlineStr">
        <is>
          <t>Chorus Pro</t>
        </is>
      </c>
    </row>
    <row r="52">
      <c r="A52" s="12" t="inlineStr">
        <is>
          <t>471109</t>
        </is>
      </c>
      <c r="B52" s="12" t="inlineStr">
        <is>
          <t>Fabrizio Rico del Mazo</t>
        </is>
      </c>
      <c r="C52" s="12" t="inlineStr">
        <is>
          <t>@kburkett</t>
        </is>
      </c>
      <c r="D52" s="17" t="n">
        <v>46202.51523148148</v>
      </c>
      <c r="E52" s="17" t="n">
        <v>46202.62076388889</v>
      </c>
      <c r="F52" s="7" t="n">
        <v>2.5</v>
      </c>
      <c r="G52" s="7" t="n">
        <v>0.1</v>
      </c>
      <c r="H52" s="18" t="inlineStr">
        <is>
          <t>2026-06</t>
        </is>
      </c>
      <c r="I52" s="12" t="inlineStr">
        <is>
          <t>Coupa</t>
        </is>
      </c>
    </row>
    <row r="53">
      <c r="A53" s="12" t="inlineStr">
        <is>
          <t>INV00021802</t>
        </is>
      </c>
      <c r="B53" s="12" t="inlineStr">
        <is>
          <t>Daniela Gomez Viscaino</t>
        </is>
      </c>
      <c r="C53" s="12" t="inlineStr">
        <is>
          <t>@kburkett</t>
        </is>
      </c>
      <c r="D53" s="17" t="n">
        <v>46202.78636574074</v>
      </c>
      <c r="E53" s="17" t="n">
        <v>46202.93710648148</v>
      </c>
      <c r="F53" s="7" t="n">
        <v>3.6</v>
      </c>
      <c r="G53" s="7" t="n">
        <v>0.2</v>
      </c>
      <c r="H53" s="18" t="inlineStr">
        <is>
          <t>2026-06</t>
        </is>
      </c>
      <c r="I53" s="12" t="inlineStr">
        <is>
          <t>Ariba</t>
        </is>
      </c>
    </row>
    <row r="54">
      <c r="A54" s="12" t="inlineStr">
        <is>
          <t>INV00021701</t>
        </is>
      </c>
      <c r="B54" s="12" t="inlineStr">
        <is>
          <t>Daniela Gomez Viscaino</t>
        </is>
      </c>
      <c r="C54" s="12" t="inlineStr">
        <is>
          <t>@kburkett</t>
        </is>
      </c>
      <c r="D54" s="17" t="n">
        <v>46202.78819444445</v>
      </c>
      <c r="E54" s="17" t="n">
        <v>46202.91690972223</v>
      </c>
      <c r="F54" s="7" t="n">
        <v>3.1</v>
      </c>
      <c r="G54" s="7" t="n">
        <v>0.1</v>
      </c>
      <c r="H54" s="18" t="inlineStr">
        <is>
          <t>2026-06</t>
        </is>
      </c>
      <c r="I54" s="12" t="inlineStr">
        <is>
          <t>Coupa</t>
        </is>
      </c>
    </row>
    <row r="55">
      <c r="A55" s="12" t="inlineStr">
        <is>
          <t>INV00021462</t>
        </is>
      </c>
      <c r="B55" s="12" t="inlineStr">
        <is>
          <t>Daniela Gomez Viscaino</t>
        </is>
      </c>
      <c r="C55" s="12" t="inlineStr">
        <is>
          <t>@kburkett</t>
        </is>
      </c>
      <c r="D55" s="17" t="n">
        <v>46202.79091435186</v>
      </c>
      <c r="E55" s="17" t="n">
        <v>46202.93311342593</v>
      </c>
      <c r="F55" s="7" t="n">
        <v>3.4</v>
      </c>
      <c r="G55" s="7" t="n">
        <v>0.1</v>
      </c>
      <c r="H55" s="18" t="inlineStr">
        <is>
          <t>2026-06</t>
        </is>
      </c>
      <c r="I55" s="12" t="inlineStr">
        <is>
          <t>Ariba</t>
        </is>
      </c>
    </row>
    <row r="56">
      <c r="A56" s="12" t="inlineStr">
        <is>
          <t>INV00021491</t>
        </is>
      </c>
      <c r="B56" s="12" t="inlineStr">
        <is>
          <t>Daniela Gomez Viscaino</t>
        </is>
      </c>
      <c r="C56" s="12" t="inlineStr">
        <is>
          <t>@kburkett</t>
        </is>
      </c>
      <c r="D56" s="17" t="n">
        <v>46202.79179398148</v>
      </c>
      <c r="E56" s="17" t="n">
        <v>46202.92932870371</v>
      </c>
      <c r="F56" s="7" t="n">
        <v>3.3</v>
      </c>
      <c r="G56" s="7" t="n">
        <v>0.1</v>
      </c>
      <c r="H56" s="18" t="inlineStr">
        <is>
          <t>2026-06</t>
        </is>
      </c>
      <c r="I56" s="12" t="inlineStr">
        <is>
          <t>Coupa</t>
        </is>
      </c>
    </row>
    <row r="57">
      <c r="A57" s="12" t="inlineStr">
        <is>
          <t>INV00021769</t>
        </is>
      </c>
      <c r="B57" s="12" t="inlineStr">
        <is>
          <t>Daniela Gomez Viscaino</t>
        </is>
      </c>
      <c r="C57" s="12" t="inlineStr">
        <is>
          <t>@kburkett</t>
        </is>
      </c>
      <c r="D57" s="17" t="n">
        <v>46202.79376157407</v>
      </c>
      <c r="E57" s="17" t="n">
        <v>46210.34105324074</v>
      </c>
      <c r="F57" s="7" t="n">
        <v>181.1</v>
      </c>
      <c r="G57" s="7" t="n">
        <v>7.5</v>
      </c>
      <c r="H57" s="18" t="inlineStr">
        <is>
          <t>2026-06</t>
        </is>
      </c>
      <c r="I57" s="12" t="inlineStr">
        <is>
          <t>Coupa</t>
        </is>
      </c>
    </row>
    <row r="58">
      <c r="A58" s="12" t="inlineStr">
        <is>
          <t>INV00021673</t>
        </is>
      </c>
      <c r="B58" s="12" t="inlineStr">
        <is>
          <t>Ashley Hudson</t>
        </is>
      </c>
      <c r="C58" s="12" t="inlineStr">
        <is>
          <t>@kburkett</t>
        </is>
      </c>
      <c r="D58" s="17" t="n">
        <v>46202.82228009259</v>
      </c>
      <c r="E58" s="17" t="n">
        <v>46202.89962962963</v>
      </c>
      <c r="F58" s="7" t="n">
        <v>1.9</v>
      </c>
      <c r="G58" s="7" t="n">
        <v>0.1</v>
      </c>
      <c r="H58" s="18" t="inlineStr">
        <is>
          <t>2026-06</t>
        </is>
      </c>
      <c r="I58" s="12" t="inlineStr">
        <is>
          <t>Taulia</t>
        </is>
      </c>
    </row>
    <row r="59">
      <c r="A59" s="12" t="inlineStr">
        <is>
          <t>INV00022143</t>
        </is>
      </c>
      <c r="B59" s="12" t="inlineStr">
        <is>
          <t>Daniela Gomez Viscaino</t>
        </is>
      </c>
      <c r="C59" s="12" t="inlineStr">
        <is>
          <t>@dreimers</t>
        </is>
      </c>
      <c r="D59" s="17" t="n">
        <v>46203.46219907407</v>
      </c>
      <c r="E59" s="17" t="n">
        <v>46218.47298611111</v>
      </c>
      <c r="F59" s="7" t="n">
        <v>360.3</v>
      </c>
      <c r="G59" s="7" t="n">
        <v>15</v>
      </c>
      <c r="H59" s="18" t="inlineStr">
        <is>
          <t>2026-06</t>
        </is>
      </c>
      <c r="I59" s="12" t="inlineStr">
        <is>
          <t>Ariba</t>
        </is>
      </c>
    </row>
    <row r="60">
      <c r="A60" s="12" t="inlineStr">
        <is>
          <t>INV00019962</t>
        </is>
      </c>
      <c r="B60" s="12" t="inlineStr">
        <is>
          <t>Elías Chávez Zamorano</t>
        </is>
      </c>
      <c r="C60" s="12" t="inlineStr">
        <is>
          <t>@dreimers</t>
        </is>
      </c>
      <c r="D60" s="17" t="n">
        <v>46203.55204861111</v>
      </c>
      <c r="E60" s="17" t="n">
        <v>46204.50627314814</v>
      </c>
      <c r="F60" s="7" t="n">
        <v>22.9</v>
      </c>
      <c r="G60" s="7" t="n">
        <v>1</v>
      </c>
      <c r="H60" s="18" t="inlineStr">
        <is>
          <t>2026-06</t>
        </is>
      </c>
      <c r="I60" s="12" t="inlineStr">
        <is>
          <t>Ariba</t>
        </is>
      </c>
    </row>
    <row r="61">
      <c r="A61" s="12" t="inlineStr">
        <is>
          <t>INV00021682</t>
        </is>
      </c>
      <c r="B61" s="12" t="inlineStr">
        <is>
          <t>Daniela Gomez Viscaino</t>
        </is>
      </c>
      <c r="C61" s="12" t="inlineStr">
        <is>
          <t>@aprilj</t>
        </is>
      </c>
      <c r="D61" s="17" t="n">
        <v>46204.40569444445</v>
      </c>
      <c r="E61" s="17" t="n">
        <v>46204.42306712963</v>
      </c>
      <c r="F61" s="7" t="n">
        <v>0.4</v>
      </c>
      <c r="G61" s="7" t="n">
        <v>0</v>
      </c>
      <c r="H61" s="18" t="inlineStr">
        <is>
          <t>2026-07</t>
        </is>
      </c>
      <c r="I61" s="12" t="inlineStr">
        <is>
          <t>Ariba</t>
        </is>
      </c>
    </row>
    <row r="62">
      <c r="A62" s="12" t="inlineStr">
        <is>
          <t>471137</t>
        </is>
      </c>
      <c r="B62" s="12" t="inlineStr">
        <is>
          <t>Yulian Trishch</t>
        </is>
      </c>
      <c r="C62" s="12" t="inlineStr">
        <is>
          <t>@dreimers</t>
        </is>
      </c>
      <c r="D62" s="17" t="n">
        <v>46204.41184027777</v>
      </c>
      <c r="E62" s="17" t="n">
        <v>46209.48625</v>
      </c>
      <c r="F62" s="7" t="n">
        <v>121.8</v>
      </c>
      <c r="G62" s="7" t="n">
        <v>5.1</v>
      </c>
      <c r="H62" s="18" t="inlineStr">
        <is>
          <t>2026-07</t>
        </is>
      </c>
      <c r="I62" s="12" t="inlineStr">
        <is>
          <t>Option 1: (Preferred -</t>
        </is>
      </c>
    </row>
    <row r="63">
      <c r="A63" s="12" t="inlineStr">
        <is>
          <t>467590</t>
        </is>
      </c>
      <c r="B63" s="12" t="inlineStr">
        <is>
          <t>Abril Marmolejo Portillo</t>
        </is>
      </c>
      <c r="C63" s="12" t="inlineStr">
        <is>
          <t>@dreimers</t>
        </is>
      </c>
      <c r="D63" s="17" t="n">
        <v>46204.59792824074</v>
      </c>
      <c r="E63" s="17" t="n">
        <v>46204.61782407408</v>
      </c>
      <c r="F63" s="7" t="n">
        <v>0.5</v>
      </c>
      <c r="G63" s="7" t="n">
        <v>0</v>
      </c>
      <c r="H63" s="18" t="inlineStr">
        <is>
          <t>2026-07</t>
        </is>
      </c>
      <c r="I63" s="12" t="inlineStr">
        <is>
          <t>Ariba</t>
        </is>
      </c>
    </row>
    <row r="64">
      <c r="A64" s="12" t="inlineStr">
        <is>
          <t>INV00022317</t>
        </is>
      </c>
      <c r="B64" s="12" t="inlineStr">
        <is>
          <t>Andrea Juarez</t>
        </is>
      </c>
      <c r="C64" s="12" t="inlineStr">
        <is>
          <t>@dreimers</t>
        </is>
      </c>
      <c r="D64" s="17" t="n">
        <v>46204.62413194445</v>
      </c>
      <c r="E64" s="17" t="n">
        <v>46205.411875</v>
      </c>
      <c r="F64" s="7" t="n">
        <v>18.9</v>
      </c>
      <c r="G64" s="7" t="n">
        <v>0.8</v>
      </c>
      <c r="H64" s="18" t="inlineStr">
        <is>
          <t>2026-07</t>
        </is>
      </c>
      <c r="I64" s="12" t="inlineStr">
        <is>
          <t>Ariba</t>
        </is>
      </c>
    </row>
    <row r="65">
      <c r="A65" s="12" t="inlineStr">
        <is>
          <t>471148</t>
        </is>
      </c>
      <c r="B65" s="12" t="inlineStr">
        <is>
          <t>Jose Novelo</t>
        </is>
      </c>
      <c r="C65" s="12" t="inlineStr">
        <is>
          <t>@dreimers</t>
        </is>
      </c>
      <c r="D65" s="17" t="n">
        <v>46205.57357638889</v>
      </c>
      <c r="E65" s="17" t="n">
        <v>46206.39912037037</v>
      </c>
      <c r="F65" s="7" t="n">
        <v>19.8</v>
      </c>
      <c r="G65" s="7" t="n">
        <v>0.8</v>
      </c>
      <c r="H65" s="18" t="inlineStr">
        <is>
          <t>2026-07</t>
        </is>
      </c>
      <c r="I65" s="12" t="inlineStr">
        <is>
          <t>Ariba</t>
        </is>
      </c>
    </row>
    <row r="66">
      <c r="A66" s="12" t="inlineStr">
        <is>
          <t>465913</t>
        </is>
      </c>
      <c r="B66" s="12" t="inlineStr">
        <is>
          <t>Fernando Anaya</t>
        </is>
      </c>
      <c r="C66" s="12" t="inlineStr">
        <is>
          <t>@dreimers</t>
        </is>
      </c>
      <c r="D66" s="17" t="n">
        <v>46205.66292824074</v>
      </c>
      <c r="E66" s="17" t="n">
        <v>46206.44606481482</v>
      </c>
      <c r="F66" s="7" t="n">
        <v>18.8</v>
      </c>
      <c r="G66" s="7" t="n">
        <v>0.8</v>
      </c>
      <c r="H66" s="18" t="inlineStr">
        <is>
          <t>2026-07</t>
        </is>
      </c>
      <c r="I66" s="12" t="inlineStr">
        <is>
          <t>Coupa</t>
        </is>
      </c>
    </row>
    <row r="67">
      <c r="A67" s="12" t="inlineStr">
        <is>
          <t>471232</t>
        </is>
      </c>
      <c r="B67" s="12" t="inlineStr">
        <is>
          <t>Fabrizio Rico del Mazo</t>
        </is>
      </c>
      <c r="C67" s="12" t="inlineStr">
        <is>
          <t>@dreimers</t>
        </is>
      </c>
      <c r="D67" s="17" t="n">
        <v>46206.42717592593</v>
      </c>
      <c r="E67" s="17" t="n">
        <v>46206.44741898148</v>
      </c>
      <c r="F67" s="7" t="n">
        <v>0.5</v>
      </c>
      <c r="G67" s="7" t="n">
        <v>0</v>
      </c>
      <c r="H67" s="18" t="inlineStr">
        <is>
          <t>2026-07</t>
        </is>
      </c>
      <c r="I67" s="12" t="inlineStr">
        <is>
          <t>Ariba</t>
        </is>
      </c>
    </row>
    <row r="68">
      <c r="A68" s="12" t="inlineStr">
        <is>
          <t>471234</t>
        </is>
      </c>
      <c r="B68" s="12" t="inlineStr">
        <is>
          <t>Fabrizio Rico del Mazo</t>
        </is>
      </c>
      <c r="C68" s="12" t="inlineStr">
        <is>
          <t>@dreimers</t>
        </is>
      </c>
      <c r="D68" s="17" t="n">
        <v>46206.43543981481</v>
      </c>
      <c r="E68" s="17" t="n">
        <v>46206.45150462963</v>
      </c>
      <c r="F68" s="7" t="n">
        <v>0.4</v>
      </c>
      <c r="G68" s="7" t="n">
        <v>0</v>
      </c>
      <c r="H68" s="18" t="inlineStr">
        <is>
          <t>2026-07</t>
        </is>
      </c>
      <c r="I68" s="12" t="inlineStr">
        <is>
          <t>Ariba</t>
        </is>
      </c>
    </row>
    <row r="69">
      <c r="A69" s="12" t="inlineStr">
        <is>
          <t>471235</t>
        </is>
      </c>
      <c r="B69" s="12" t="inlineStr">
        <is>
          <t>Fabrizio Rico del Mazo</t>
        </is>
      </c>
      <c r="C69" s="12" t="inlineStr">
        <is>
          <t>@dreimers</t>
        </is>
      </c>
      <c r="D69" s="17" t="n">
        <v>46206.43613425926</v>
      </c>
      <c r="E69" s="17" t="n">
        <v>46206.51376157408</v>
      </c>
      <c r="F69" s="7" t="n">
        <v>1.9</v>
      </c>
      <c r="G69" s="7" t="n">
        <v>0.1</v>
      </c>
      <c r="H69" s="18" t="inlineStr">
        <is>
          <t>2026-07</t>
        </is>
      </c>
      <c r="I69" s="12" t="inlineStr">
        <is>
          <t>Ariba</t>
        </is>
      </c>
    </row>
    <row r="70">
      <c r="A70" s="12" t="inlineStr">
        <is>
          <t>471236</t>
        </is>
      </c>
      <c r="B70" s="12" t="inlineStr">
        <is>
          <t>Fabrizio Rico del Mazo</t>
        </is>
      </c>
      <c r="C70" s="12" t="inlineStr">
        <is>
          <t>@dreimers</t>
        </is>
      </c>
      <c r="D70" s="17" t="n">
        <v>46206.4366087963</v>
      </c>
      <c r="E70" s="17" t="n">
        <v>46245.38761574074</v>
      </c>
      <c r="F70" s="7" t="n">
        <v>934.8</v>
      </c>
      <c r="G70" s="7" t="n">
        <v>39</v>
      </c>
      <c r="H70" s="18" t="inlineStr">
        <is>
          <t>2026-07</t>
        </is>
      </c>
      <c r="I70" s="12" t="inlineStr">
        <is>
          <t>Ariba</t>
        </is>
      </c>
    </row>
    <row r="71">
      <c r="A71" s="12" t="inlineStr">
        <is>
          <t>464416</t>
        </is>
      </c>
      <c r="B71" s="12" t="inlineStr">
        <is>
          <t>Bhumika Kokate</t>
        </is>
      </c>
      <c r="C71" s="12" t="inlineStr">
        <is>
          <t>@dreimers</t>
        </is>
      </c>
      <c r="D71" s="17" t="n">
        <v>46209.06267361111</v>
      </c>
      <c r="E71" s="17" t="n">
        <v>46209.46458333333</v>
      </c>
      <c r="F71" s="7" t="n">
        <v>9.6</v>
      </c>
      <c r="G71" s="7" t="n">
        <v>0.4</v>
      </c>
      <c r="H71" s="18" t="inlineStr">
        <is>
          <t>2026-07</t>
        </is>
      </c>
      <c r="I71" s="12" t="inlineStr">
        <is>
          <t>Portal por URL</t>
        </is>
      </c>
    </row>
    <row r="72">
      <c r="A72" s="12" t="inlineStr">
        <is>
          <t>470826</t>
        </is>
      </c>
      <c r="B72" s="12" t="inlineStr">
        <is>
          <t>Gabriela Kwaśniewska</t>
        </is>
      </c>
      <c r="C72" s="12" t="inlineStr">
        <is>
          <t>@dreimers</t>
        </is>
      </c>
      <c r="D72" s="17" t="n">
        <v>46209.36998842593</v>
      </c>
      <c r="E72" s="17" t="n">
        <v>46209.46138888889</v>
      </c>
      <c r="F72" s="7" t="n">
        <v>2.2</v>
      </c>
      <c r="G72" s="7" t="n">
        <v>0.1</v>
      </c>
      <c r="H72" s="18" t="inlineStr">
        <is>
          <t>2026-07</t>
        </is>
      </c>
      <c r="I72" s="12" t="inlineStr">
        <is>
          <t>Chorus Pro</t>
        </is>
      </c>
    </row>
    <row r="73">
      <c r="A73" s="12" t="inlineStr">
        <is>
          <t>433710</t>
        </is>
      </c>
      <c r="B73" s="12" t="inlineStr">
        <is>
          <t>Fernando Anaya</t>
        </is>
      </c>
      <c r="C73" s="12" t="inlineStr">
        <is>
          <t>@dreimers</t>
        </is>
      </c>
      <c r="D73" s="17" t="n">
        <v>46211.5466087963</v>
      </c>
      <c r="E73" s="17" t="n">
        <v>46231.49832175926</v>
      </c>
      <c r="F73" s="7" t="n">
        <v>478.8</v>
      </c>
      <c r="G73" s="7" t="n">
        <v>20</v>
      </c>
      <c r="H73" s="18" t="inlineStr">
        <is>
          <t>2026-07</t>
        </is>
      </c>
      <c r="I73" s="12" t="inlineStr">
        <is>
          <t>Coupa</t>
        </is>
      </c>
    </row>
    <row r="74">
      <c r="A74" s="12" t="inlineStr">
        <is>
          <t>465913</t>
        </is>
      </c>
      <c r="B74" s="12" t="inlineStr">
        <is>
          <t>Fernando Anaya</t>
        </is>
      </c>
      <c r="C74" s="12" t="inlineStr">
        <is>
          <t>@dreimers</t>
        </is>
      </c>
      <c r="D74" s="17" t="n">
        <v>46211.54913194444</v>
      </c>
      <c r="E74" s="17" t="n">
        <v>46231.49868055555</v>
      </c>
      <c r="F74" s="7" t="n">
        <v>478.8</v>
      </c>
      <c r="G74" s="7" t="n">
        <v>19.9</v>
      </c>
      <c r="H74" s="18" t="inlineStr">
        <is>
          <t>2026-07</t>
        </is>
      </c>
      <c r="I74" s="12" t="inlineStr">
        <is>
          <t>Coupa</t>
        </is>
      </c>
    </row>
    <row r="75">
      <c r="A75" s="12" t="inlineStr">
        <is>
          <t>INV00022719</t>
        </is>
      </c>
      <c r="B75" s="12" t="inlineStr">
        <is>
          <t>Maria de Lourdes López Núñez</t>
        </is>
      </c>
      <c r="C75" s="12" t="inlineStr">
        <is>
          <t>@dreimers</t>
        </is>
      </c>
      <c r="D75" s="17" t="n">
        <v>46211.5509375</v>
      </c>
      <c r="E75" s="17" t="n">
        <v>46211.60092592592</v>
      </c>
      <c r="F75" s="7" t="n">
        <v>1.2</v>
      </c>
      <c r="G75" s="7" t="n">
        <v>0</v>
      </c>
      <c r="H75" s="18" t="inlineStr">
        <is>
          <t>2026-07</t>
        </is>
      </c>
      <c r="I75" s="12" t="inlineStr">
        <is>
          <t>Coupa</t>
        </is>
      </c>
    </row>
    <row r="76">
      <c r="A76" s="12" t="inlineStr">
        <is>
          <t>INV00022892</t>
        </is>
      </c>
      <c r="B76" s="12" t="inlineStr">
        <is>
          <t>Andrea Juarez</t>
        </is>
      </c>
      <c r="C76" s="12" t="inlineStr">
        <is>
          <t>@dreimers</t>
        </is>
      </c>
      <c r="D76" s="17" t="n">
        <v>46211.58126157407</v>
      </c>
      <c r="E76" s="17" t="n">
        <v>46211.61304398148</v>
      </c>
      <c r="F76" s="7" t="n">
        <v>0.8</v>
      </c>
      <c r="G76" s="7" t="n">
        <v>0</v>
      </c>
      <c r="H76" s="18" t="inlineStr">
        <is>
          <t>2026-07</t>
        </is>
      </c>
      <c r="I76" s="12" t="inlineStr">
        <is>
          <t>Ariba</t>
        </is>
      </c>
    </row>
    <row r="77">
      <c r="A77" s="12" t="inlineStr">
        <is>
          <t>INV00022324</t>
        </is>
      </c>
      <c r="B77" s="12" t="inlineStr">
        <is>
          <t>Daniela Gomez Viscaino</t>
        </is>
      </c>
      <c r="C77" s="12" t="inlineStr">
        <is>
          <t>@dreimers</t>
        </is>
      </c>
      <c r="D77" s="17" t="n">
        <v>46211.58181712963</v>
      </c>
      <c r="E77" s="17" t="n">
        <v>46211.61459490741</v>
      </c>
      <c r="F77" s="7" t="n">
        <v>0.8</v>
      </c>
      <c r="G77" s="7" t="n">
        <v>0</v>
      </c>
      <c r="H77" s="18" t="inlineStr">
        <is>
          <t>2026-07</t>
        </is>
      </c>
      <c r="I77" s="12" t="inlineStr">
        <is>
          <t>Ariba</t>
        </is>
      </c>
    </row>
    <row r="78">
      <c r="A78" s="12" t="inlineStr">
        <is>
          <t>470840</t>
        </is>
      </c>
      <c r="B78" s="12" t="inlineStr">
        <is>
          <t>Gabriela Kwaśniewska</t>
        </is>
      </c>
      <c r="C78" s="12" t="inlineStr">
        <is>
          <t>@dreimers</t>
        </is>
      </c>
      <c r="D78" s="17" t="n">
        <v>46212.2705787037</v>
      </c>
      <c r="E78" s="17" t="n">
        <v>46212.48398148148</v>
      </c>
      <c r="F78" s="7" t="n">
        <v>5.1</v>
      </c>
      <c r="G78" s="7" t="n">
        <v>0.2</v>
      </c>
      <c r="H78" s="18" t="inlineStr">
        <is>
          <t>2026-07</t>
        </is>
      </c>
      <c r="I78" s="12" t="inlineStr">
        <is>
          <t>Chorus Pro</t>
        </is>
      </c>
    </row>
    <row r="79">
      <c r="A79" s="12" t="inlineStr">
        <is>
          <t>465391</t>
        </is>
      </c>
      <c r="B79" s="12" t="inlineStr">
        <is>
          <t>George Kahy</t>
        </is>
      </c>
      <c r="C79" s="12" t="inlineStr">
        <is>
          <t>@dreimers</t>
        </is>
      </c>
      <c r="D79" s="17" t="n">
        <v>46212.95761574074</v>
      </c>
      <c r="E79" s="17" t="n">
        <v>46213.49804398148</v>
      </c>
      <c r="F79" s="7" t="n">
        <v>13</v>
      </c>
      <c r="G79" s="7" t="n">
        <v>0.5</v>
      </c>
      <c r="H79" s="18" t="inlineStr">
        <is>
          <t>2026-07</t>
        </is>
      </c>
      <c r="I79" s="12" t="inlineStr">
        <is>
          <t>Ariba</t>
        </is>
      </c>
    </row>
    <row r="80">
      <c r="A80" s="12" t="inlineStr"/>
      <c r="B80" s="12" t="inlineStr">
        <is>
          <t>Andres Prieto</t>
        </is>
      </c>
      <c r="C80" s="12" t="inlineStr">
        <is>
          <t>@dreimers</t>
        </is>
      </c>
      <c r="D80" s="17" t="n">
        <v>46213.66116898148</v>
      </c>
      <c r="E80" s="17" t="n">
        <v>46216.50620370371</v>
      </c>
      <c r="F80" s="7" t="n">
        <v>68.3</v>
      </c>
      <c r="G80" s="7" t="n">
        <v>2.8</v>
      </c>
      <c r="H80" s="18" t="inlineStr">
        <is>
          <t>2026-07</t>
        </is>
      </c>
      <c r="I80" s="12" t="inlineStr">
        <is>
          <t>Sin dato</t>
        </is>
      </c>
    </row>
    <row r="81">
      <c r="A81" s="12" t="inlineStr">
        <is>
          <t>471288</t>
        </is>
      </c>
      <c r="B81" s="12" t="inlineStr">
        <is>
          <t>Alejandro Salazar Copado</t>
        </is>
      </c>
      <c r="C81" s="12" t="inlineStr">
        <is>
          <t>@dreimers</t>
        </is>
      </c>
      <c r="D81" s="17" t="n">
        <v>46213.6821412037</v>
      </c>
      <c r="E81" s="17" t="n">
        <v>46216.50920138889</v>
      </c>
      <c r="F81" s="7" t="n">
        <v>67.8</v>
      </c>
      <c r="G81" s="7" t="n">
        <v>2.8</v>
      </c>
      <c r="H81" s="18" t="inlineStr">
        <is>
          <t>2026-07</t>
        </is>
      </c>
      <c r="I81" s="12" t="inlineStr">
        <is>
          <t>Ariba</t>
        </is>
      </c>
    </row>
    <row r="82">
      <c r="A82" s="12" t="inlineStr">
        <is>
          <t>471302</t>
        </is>
      </c>
      <c r="B82" s="12" t="inlineStr">
        <is>
          <t>Alejandro Salazar Copado</t>
        </is>
      </c>
      <c r="C82" s="12" t="inlineStr">
        <is>
          <t>@dreimers</t>
        </is>
      </c>
      <c r="D82" s="17" t="n">
        <v>46216.39956018519</v>
      </c>
      <c r="E82" s="17" t="n">
        <v>46218.46796296296</v>
      </c>
      <c r="F82" s="7" t="n">
        <v>49.6</v>
      </c>
      <c r="G82" s="7" t="n">
        <v>2.1</v>
      </c>
      <c r="H82" s="18" t="inlineStr">
        <is>
          <t>2026-07</t>
        </is>
      </c>
      <c r="I82" s="12" t="inlineStr">
        <is>
          <t>Ariba</t>
        </is>
      </c>
    </row>
    <row r="83">
      <c r="A83" s="12" t="inlineStr">
        <is>
          <t>471289</t>
        </is>
      </c>
      <c r="B83" s="12" t="inlineStr">
        <is>
          <t>Karla Tellez</t>
        </is>
      </c>
      <c r="C83" s="12" t="inlineStr">
        <is>
          <t>@dreimers</t>
        </is>
      </c>
      <c r="D83" s="17" t="n">
        <v>46216.46428240741</v>
      </c>
      <c r="E83" s="17" t="n">
        <v>46216.51510416667</v>
      </c>
      <c r="F83" s="7" t="n">
        <v>1.2</v>
      </c>
      <c r="G83" s="7" t="n">
        <v>0.1</v>
      </c>
      <c r="H83" s="18" t="inlineStr">
        <is>
          <t>2026-07</t>
        </is>
      </c>
      <c r="I83" s="12" t="inlineStr">
        <is>
          <t>Ariba</t>
        </is>
      </c>
    </row>
    <row r="84">
      <c r="A84" s="12" t="inlineStr">
        <is>
          <t>INV00023439</t>
        </is>
      </c>
      <c r="B84" s="12" t="inlineStr">
        <is>
          <t>Cindy Espinola</t>
        </is>
      </c>
      <c r="C84" s="12" t="inlineStr">
        <is>
          <t>@dreimers</t>
        </is>
      </c>
      <c r="D84" s="17" t="n">
        <v>46216.5969212963</v>
      </c>
      <c r="E84" s="17" t="n">
        <v>46216.60158564815</v>
      </c>
      <c r="F84" s="7" t="n">
        <v>0.1</v>
      </c>
      <c r="G84" s="7" t="n">
        <v>0</v>
      </c>
      <c r="H84" s="18" t="inlineStr">
        <is>
          <t>2026-07</t>
        </is>
      </c>
      <c r="I84" s="12" t="inlineStr">
        <is>
          <t>Coupa</t>
        </is>
      </c>
    </row>
    <row r="85">
      <c r="A85" s="12" t="inlineStr">
        <is>
          <t>INV00020373</t>
        </is>
      </c>
      <c r="B85" s="12" t="inlineStr">
        <is>
          <t>Daiki Hayashi</t>
        </is>
      </c>
      <c r="C85" s="12" t="inlineStr">
        <is>
          <t>@dreimers</t>
        </is>
      </c>
      <c r="D85" s="17" t="n">
        <v>46216.98214120371</v>
      </c>
      <c r="E85" s="17" t="n">
        <v>46218.46759259259</v>
      </c>
      <c r="F85" s="7" t="n">
        <v>35.7</v>
      </c>
      <c r="G85" s="7" t="n">
        <v>1.5</v>
      </c>
      <c r="H85" s="18" t="inlineStr">
        <is>
          <t>2026-07</t>
        </is>
      </c>
      <c r="I85" s="12" t="inlineStr">
        <is>
          <t>Coupa</t>
        </is>
      </c>
    </row>
    <row r="86">
      <c r="A86" s="12" t="inlineStr">
        <is>
          <t>INV00022437</t>
        </is>
      </c>
      <c r="B86" s="12" t="inlineStr">
        <is>
          <t>Mariana Senkovych</t>
        </is>
      </c>
      <c r="C86" s="12" t="inlineStr">
        <is>
          <t>@dreimers</t>
        </is>
      </c>
      <c r="D86" s="17" t="n">
        <v>46217.39230324074</v>
      </c>
      <c r="E86" s="17" t="n">
        <v>46218.55229166667</v>
      </c>
      <c r="F86" s="7" t="n">
        <v>27.8</v>
      </c>
      <c r="G86" s="7" t="n">
        <v>1.2</v>
      </c>
      <c r="H86" s="18" t="inlineStr">
        <is>
          <t>2026-07</t>
        </is>
      </c>
      <c r="I86" s="12" t="inlineStr">
        <is>
          <t>Ariba</t>
        </is>
      </c>
    </row>
    <row r="87">
      <c r="A87" s="12" t="inlineStr">
        <is>
          <t>377444</t>
        </is>
      </c>
      <c r="B87" s="12" t="inlineStr">
        <is>
          <t>Nathan Smith</t>
        </is>
      </c>
      <c r="C87" s="12" t="inlineStr">
        <is>
          <t>@dreimers</t>
        </is>
      </c>
      <c r="D87" s="17" t="n">
        <v>46217.44951388889</v>
      </c>
      <c r="E87" s="17" t="n">
        <v>46245.38123842593</v>
      </c>
      <c r="F87" s="7" t="n">
        <v>670.4</v>
      </c>
      <c r="G87" s="7" t="n">
        <v>27.9</v>
      </c>
      <c r="H87" s="18" t="inlineStr">
        <is>
          <t>2026-07</t>
        </is>
      </c>
      <c r="I87" s="12" t="inlineStr">
        <is>
          <t>Portal por URL</t>
        </is>
      </c>
    </row>
    <row r="88">
      <c r="A88" s="12" t="inlineStr">
        <is>
          <t>INV00023643</t>
        </is>
      </c>
      <c r="B88" s="12" t="inlineStr">
        <is>
          <t>Diego Cué Vázquez</t>
        </is>
      </c>
      <c r="C88" s="12" t="inlineStr">
        <is>
          <t>@dreimers</t>
        </is>
      </c>
      <c r="D88" s="17" t="n">
        <v>46219.51006944444</v>
      </c>
      <c r="E88" s="17" t="n">
        <v>46219.59121527777</v>
      </c>
      <c r="F88" s="7" t="n">
        <v>1.9</v>
      </c>
      <c r="G88" s="7" t="n">
        <v>0.1</v>
      </c>
      <c r="H88" s="18" t="inlineStr">
        <is>
          <t>2026-07</t>
        </is>
      </c>
      <c r="I88" s="12" t="inlineStr">
        <is>
          <t>Google</t>
        </is>
      </c>
    </row>
    <row r="89">
      <c r="A89" s="12" t="inlineStr">
        <is>
          <t>468661</t>
        </is>
      </c>
      <c r="B89" s="12" t="inlineStr">
        <is>
          <t>Erick Z. Cabrera</t>
        </is>
      </c>
      <c r="C89" s="12" t="inlineStr">
        <is>
          <t>@dreimers</t>
        </is>
      </c>
      <c r="D89" s="17" t="n">
        <v>46219.57888888889</v>
      </c>
      <c r="E89" s="17" t="n">
        <v>46223.59344907408</v>
      </c>
      <c r="F89" s="7" t="n">
        <v>96.3</v>
      </c>
      <c r="G89" s="7" t="n">
        <v>4</v>
      </c>
      <c r="H89" s="18" t="inlineStr">
        <is>
          <t>2026-07</t>
        </is>
      </c>
      <c r="I89" s="12" t="inlineStr">
        <is>
          <t>Vendor Invoice Managem</t>
        </is>
      </c>
    </row>
    <row r="90">
      <c r="A90" s="12" t="inlineStr">
        <is>
          <t>INV00023799</t>
        </is>
      </c>
      <c r="B90" s="12" t="inlineStr">
        <is>
          <t>Cindy Espinola</t>
        </is>
      </c>
      <c r="C90" s="12" t="inlineStr">
        <is>
          <t>@dreimers</t>
        </is>
      </c>
      <c r="D90" s="17" t="n">
        <v>46220.59633101852</v>
      </c>
      <c r="E90" s="17" t="n">
        <v>46223.59318287037</v>
      </c>
      <c r="F90" s="7" t="n">
        <v>71.90000000000001</v>
      </c>
      <c r="G90" s="7" t="n">
        <v>3</v>
      </c>
      <c r="H90" s="18" t="inlineStr">
        <is>
          <t>2026-07</t>
        </is>
      </c>
      <c r="I90" s="12" t="inlineStr">
        <is>
          <t>Tungsten</t>
        </is>
      </c>
    </row>
    <row r="91">
      <c r="A91" s="12" t="inlineStr">
        <is>
          <t>INV00020544</t>
        </is>
      </c>
      <c r="B91" s="12" t="inlineStr">
        <is>
          <t>Nikhil Anjikar</t>
        </is>
      </c>
      <c r="C91" s="12" t="inlineStr">
        <is>
          <t>@dreimers</t>
        </is>
      </c>
      <c r="D91" s="17" t="n">
        <v>46223.57290509259</v>
      </c>
      <c r="E91" s="17" t="n">
        <v>46223.59586805556</v>
      </c>
      <c r="F91" s="7" t="n">
        <v>0.6</v>
      </c>
      <c r="G91" s="7" t="n">
        <v>0</v>
      </c>
      <c r="H91" s="18" t="inlineStr">
        <is>
          <t>2026-07</t>
        </is>
      </c>
      <c r="I91" s="12" t="inlineStr">
        <is>
          <t>Coupa</t>
        </is>
      </c>
    </row>
    <row r="92">
      <c r="A92" s="12" t="inlineStr">
        <is>
          <t>INV00023799</t>
        </is>
      </c>
      <c r="B92" s="12" t="inlineStr">
        <is>
          <t>Mariana Senkovych</t>
        </is>
      </c>
      <c r="C92" s="12" t="inlineStr">
        <is>
          <t>@dreimers</t>
        </is>
      </c>
      <c r="D92" s="17" t="n">
        <v>46224.19207175926</v>
      </c>
      <c r="E92" s="17" t="n">
        <v>46224.44824074074</v>
      </c>
      <c r="F92" s="7" t="n">
        <v>6.1</v>
      </c>
      <c r="G92" s="7" t="n">
        <v>0.3</v>
      </c>
      <c r="H92" s="18" t="inlineStr">
        <is>
          <t>2026-07</t>
        </is>
      </c>
      <c r="I92" s="12" t="inlineStr">
        <is>
          <t>Tradeshift</t>
        </is>
      </c>
    </row>
    <row r="93">
      <c r="A93" s="12" t="inlineStr">
        <is>
          <t>INV00022435</t>
        </is>
      </c>
      <c r="B93" s="12" t="inlineStr">
        <is>
          <t>Mariano Muniain</t>
        </is>
      </c>
      <c r="C93" s="12" t="inlineStr">
        <is>
          <t>@dreimers</t>
        </is>
      </c>
      <c r="D93" s="17" t="n">
        <v>46224.39155092592</v>
      </c>
      <c r="E93" s="17" t="n">
        <v>46224.53614583334</v>
      </c>
      <c r="F93" s="7" t="n">
        <v>3.5</v>
      </c>
      <c r="G93" s="7" t="n">
        <v>0.1</v>
      </c>
      <c r="H93" s="18" t="inlineStr">
        <is>
          <t>2026-07</t>
        </is>
      </c>
      <c r="I93" s="12" t="inlineStr">
        <is>
          <t>Sesami</t>
        </is>
      </c>
    </row>
    <row r="94">
      <c r="A94" s="12" t="inlineStr">
        <is>
          <t>INV00023491</t>
        </is>
      </c>
      <c r="B94" s="12" t="inlineStr">
        <is>
          <t>Fabrizio Rico del Mazo</t>
        </is>
      </c>
      <c r="C94" s="12" t="inlineStr">
        <is>
          <t>@dreimers</t>
        </is>
      </c>
      <c r="D94" s="17" t="n">
        <v>46224.42703703704</v>
      </c>
      <c r="E94" s="17" t="n">
        <v>46224.46887731482</v>
      </c>
      <c r="F94" s="7" t="n">
        <v>1</v>
      </c>
      <c r="G94" s="7" t="n">
        <v>0</v>
      </c>
      <c r="H94" s="18" t="inlineStr">
        <is>
          <t>2026-07</t>
        </is>
      </c>
      <c r="I94" s="12" t="inlineStr">
        <is>
          <t>Easy Platform</t>
        </is>
      </c>
    </row>
    <row r="95">
      <c r="A95" s="12" t="inlineStr">
        <is>
          <t>4 6 5 3 6 9</t>
        </is>
      </c>
      <c r="B95" s="12" t="inlineStr">
        <is>
          <t>Aity Sánchez Sandoval</t>
        </is>
      </c>
      <c r="C95" s="12" t="inlineStr">
        <is>
          <t>@dreimers</t>
        </is>
      </c>
      <c r="D95" s="17" t="n">
        <v>46225.50163194445</v>
      </c>
      <c r="E95" s="17" t="n">
        <v>46226.39471064815</v>
      </c>
      <c r="F95" s="7" t="n">
        <v>21.4</v>
      </c>
      <c r="G95" s="7" t="n">
        <v>0.9</v>
      </c>
      <c r="H95" s="18" t="inlineStr">
        <is>
          <t>2026-07</t>
        </is>
      </c>
      <c r="I95" s="12" t="inlineStr">
        <is>
          <t>Transcepta</t>
        </is>
      </c>
    </row>
    <row r="96">
      <c r="A96" s="12" t="inlineStr">
        <is>
          <t>INV00023728</t>
        </is>
      </c>
      <c r="B96" s="12" t="inlineStr">
        <is>
          <t>Aity Sánchez Sandoval</t>
        </is>
      </c>
      <c r="C96" s="12" t="inlineStr">
        <is>
          <t>@dreimers</t>
        </is>
      </c>
      <c r="D96" s="17" t="n">
        <v>46225.50575231481</v>
      </c>
      <c r="E96" s="17" t="n">
        <v>46225.56233796296</v>
      </c>
      <c r="F96" s="7" t="n">
        <v>1.4</v>
      </c>
      <c r="G96" s="7" t="n">
        <v>0.1</v>
      </c>
      <c r="H96" s="18" t="inlineStr">
        <is>
          <t>2026-07</t>
        </is>
      </c>
      <c r="I96" s="12" t="inlineStr">
        <is>
          <t>University Of Pennsylv</t>
        </is>
      </c>
    </row>
    <row r="97">
      <c r="A97" s="12" t="inlineStr">
        <is>
          <t>INV00023950</t>
        </is>
      </c>
      <c r="B97" s="12" t="inlineStr">
        <is>
          <t>Cindy Espinola</t>
        </is>
      </c>
      <c r="C97" s="12" t="inlineStr">
        <is>
          <t>@dreimers</t>
        </is>
      </c>
      <c r="D97" s="17" t="n">
        <v>46225.76797453704</v>
      </c>
      <c r="E97" s="17" t="n">
        <v>46226.40005787037</v>
      </c>
      <c r="F97" s="7" t="n">
        <v>15.2</v>
      </c>
      <c r="G97" s="7" t="n">
        <v>0.6</v>
      </c>
      <c r="H97" s="18" t="inlineStr">
        <is>
          <t>2026-07</t>
        </is>
      </c>
      <c r="I97" s="12" t="inlineStr">
        <is>
          <t>Coupa</t>
        </is>
      </c>
    </row>
    <row r="98">
      <c r="A98" s="12" t="inlineStr">
        <is>
          <t>INV00023865</t>
        </is>
      </c>
      <c r="B98" s="12" t="inlineStr">
        <is>
          <t>Diego Cué Vázquez</t>
        </is>
      </c>
      <c r="C98" s="12" t="inlineStr">
        <is>
          <t>@dreimers</t>
        </is>
      </c>
      <c r="D98" s="17" t="n">
        <v>46226.46505787037</v>
      </c>
      <c r="E98" s="17" t="n">
        <v>46227.34571759259</v>
      </c>
      <c r="F98" s="7" t="n">
        <v>21.1</v>
      </c>
      <c r="G98" s="7" t="n">
        <v>0.9</v>
      </c>
      <c r="H98" s="18" t="inlineStr">
        <is>
          <t>2026-07</t>
        </is>
      </c>
      <c r="I98" s="12" t="inlineStr">
        <is>
          <t>Microsoft</t>
        </is>
      </c>
    </row>
    <row r="99">
      <c r="A99" s="12" t="inlineStr">
        <is>
          <t>INV00023868</t>
        </is>
      </c>
      <c r="B99" s="12" t="inlineStr">
        <is>
          <t>Diego Cué Vázquez</t>
        </is>
      </c>
      <c r="C99" s="12" t="inlineStr">
        <is>
          <t>@dreimers</t>
        </is>
      </c>
      <c r="D99" s="17" t="n">
        <v>46226.46576388889</v>
      </c>
      <c r="E99" s="17" t="n">
        <v>46245.38356481482</v>
      </c>
      <c r="F99" s="7" t="n">
        <v>454</v>
      </c>
      <c r="G99" s="7" t="n">
        <v>18.9</v>
      </c>
      <c r="H99" s="18" t="inlineStr">
        <is>
          <t>2026-07</t>
        </is>
      </c>
      <c r="I99" s="12" t="inlineStr">
        <is>
          <t>Ariba</t>
        </is>
      </c>
    </row>
    <row r="100">
      <c r="A100" s="12" t="inlineStr">
        <is>
          <t>INV00020620</t>
        </is>
      </c>
      <c r="B100" s="12" t="inlineStr">
        <is>
          <t>Fabrizio Rico del Mazo</t>
        </is>
      </c>
      <c r="C100" s="12" t="inlineStr">
        <is>
          <t>@dreimers</t>
        </is>
      </c>
      <c r="D100" s="17" t="n">
        <v>46226.64424768519</v>
      </c>
      <c r="E100" s="17" t="n">
        <v>46227.42974537037</v>
      </c>
      <c r="F100" s="7" t="n">
        <v>18.9</v>
      </c>
      <c r="G100" s="7" t="n">
        <v>0.8</v>
      </c>
      <c r="H100" s="18" t="inlineStr">
        <is>
          <t>2026-07</t>
        </is>
      </c>
      <c r="I100" s="12" t="inlineStr">
        <is>
          <t>Ariba</t>
        </is>
      </c>
    </row>
    <row r="101">
      <c r="A101" s="12" t="inlineStr">
        <is>
          <t>QILNEW2139</t>
        </is>
      </c>
      <c r="B101" s="12" t="inlineStr">
        <is>
          <t>Fabrizio Rico del Mazo</t>
        </is>
      </c>
      <c r="C101" s="12" t="inlineStr">
        <is>
          <t>@dreimers</t>
        </is>
      </c>
      <c r="D101" s="17" t="n">
        <v>46226.66737268519</v>
      </c>
      <c r="E101" s="17" t="n">
        <v>46227.57420138889</v>
      </c>
      <c r="F101" s="7" t="n">
        <v>21.8</v>
      </c>
      <c r="G101" s="7" t="n">
        <v>0.9</v>
      </c>
      <c r="H101" s="18" t="inlineStr">
        <is>
          <t>2026-07</t>
        </is>
      </c>
      <c r="I101" s="12" t="inlineStr">
        <is>
          <t>Chorus Pro</t>
        </is>
      </c>
    </row>
    <row r="102">
      <c r="A102" s="12" t="inlineStr">
        <is>
          <t>453627</t>
        </is>
      </c>
      <c r="B102" s="12" t="inlineStr">
        <is>
          <t>Nathan Smith</t>
        </is>
      </c>
      <c r="C102" s="12" t="inlineStr">
        <is>
          <t>@dreimers</t>
        </is>
      </c>
      <c r="D102" s="17" t="n">
        <v>46227.57715277778</v>
      </c>
      <c r="E102" s="17" t="n">
        <v>46245.38488425926</v>
      </c>
      <c r="F102" s="7" t="n">
        <v>427.4</v>
      </c>
      <c r="G102" s="7" t="n">
        <v>17.8</v>
      </c>
      <c r="H102" s="18" t="inlineStr">
        <is>
          <t>2026-07</t>
        </is>
      </c>
      <c r="I102" s="12" t="inlineStr">
        <is>
          <t>Portal por URL</t>
        </is>
      </c>
    </row>
    <row r="103">
      <c r="A103" s="12" t="inlineStr">
        <is>
          <t>421511</t>
        </is>
      </c>
      <c r="B103" s="12" t="inlineStr">
        <is>
          <t>Saiyon Tanaka</t>
        </is>
      </c>
      <c r="C103" s="12" t="inlineStr">
        <is>
          <t>@dreimers</t>
        </is>
      </c>
      <c r="D103" s="17" t="n">
        <v>46229.83163194444</v>
      </c>
      <c r="E103" s="17" t="n">
        <v>46230.459375</v>
      </c>
      <c r="F103" s="7" t="n">
        <v>15.1</v>
      </c>
      <c r="G103" s="7" t="n">
        <v>0.6</v>
      </c>
      <c r="H103" s="18" t="inlineStr">
        <is>
          <t>2026-07</t>
        </is>
      </c>
      <c r="I103" s="12" t="inlineStr">
        <is>
          <t>Coupa</t>
        </is>
      </c>
    </row>
    <row r="104">
      <c r="A104" s="12" t="inlineStr"/>
      <c r="B104" s="12" t="inlineStr">
        <is>
          <t>Andres Prieto</t>
        </is>
      </c>
      <c r="C104" s="12" t="inlineStr"/>
      <c r="D104" s="17" t="n">
        <v>46230.40052083333</v>
      </c>
      <c r="E104" s="17" t="n"/>
      <c r="F104" s="7" t="n"/>
      <c r="G104" s="7" t="n"/>
      <c r="H104" s="18" t="inlineStr">
        <is>
          <t>2026-07</t>
        </is>
      </c>
      <c r="I104" s="12" t="inlineStr">
        <is>
          <t>Sap Business Network</t>
        </is>
      </c>
    </row>
    <row r="105">
      <c r="A105" s="12" t="inlineStr">
        <is>
          <t>PR740566</t>
        </is>
      </c>
      <c r="B105" s="12" t="inlineStr">
        <is>
          <t>Mariano Muniain</t>
        </is>
      </c>
      <c r="C105" s="12" t="inlineStr">
        <is>
          <t>@dreimers</t>
        </is>
      </c>
      <c r="D105" s="17" t="n">
        <v>46230.4122337963</v>
      </c>
      <c r="E105" s="17" t="n">
        <v>46230.49866898148</v>
      </c>
      <c r="F105" s="7" t="n">
        <v>2.1</v>
      </c>
      <c r="G105" s="7" t="n">
        <v>0.1</v>
      </c>
      <c r="H105" s="18" t="inlineStr">
        <is>
          <t>2026-07</t>
        </is>
      </c>
      <c r="I105" s="12" t="inlineStr">
        <is>
          <t>Ariba</t>
        </is>
      </c>
    </row>
    <row r="106">
      <c r="A106" s="12" t="inlineStr">
        <is>
          <t>INV00023572</t>
        </is>
      </c>
      <c r="B106" s="12" t="inlineStr">
        <is>
          <t>Pamella Covarrubias</t>
        </is>
      </c>
      <c r="C106" s="12" t="inlineStr">
        <is>
          <t>@dreimers</t>
        </is>
      </c>
      <c r="D106" s="17" t="n">
        <v>46230.44018518519</v>
      </c>
      <c r="E106" s="17" t="n">
        <v>46230.47216435185</v>
      </c>
      <c r="F106" s="7" t="n">
        <v>0.8</v>
      </c>
      <c r="G106" s="7" t="n">
        <v>0</v>
      </c>
      <c r="H106" s="18" t="inlineStr">
        <is>
          <t>2026-07</t>
        </is>
      </c>
      <c r="I106" s="12" t="inlineStr">
        <is>
          <t>Ariba</t>
        </is>
      </c>
    </row>
    <row r="107">
      <c r="A107" s="12" t="inlineStr">
        <is>
          <t>INV00020848</t>
        </is>
      </c>
      <c r="B107" s="12" t="inlineStr">
        <is>
          <t>Fernando Anaya</t>
        </is>
      </c>
      <c r="C107" s="12" t="inlineStr">
        <is>
          <t>@dreimers</t>
        </is>
      </c>
      <c r="D107" s="17" t="n">
        <v>46231.34134259259</v>
      </c>
      <c r="E107" s="17" t="n">
        <v>46231.34666666666</v>
      </c>
      <c r="F107" s="7" t="n">
        <v>0.1</v>
      </c>
      <c r="G107" s="7" t="n">
        <v>0</v>
      </c>
      <c r="H107" s="18" t="inlineStr">
        <is>
          <t>2026-07</t>
        </is>
      </c>
      <c r="I107" s="12" t="inlineStr">
        <is>
          <t>Ariba</t>
        </is>
      </c>
    </row>
    <row r="108">
      <c r="A108" s="12" t="inlineStr">
        <is>
          <t>INV00023030</t>
        </is>
      </c>
      <c r="B108" s="12" t="inlineStr">
        <is>
          <t>Viki Kovaliv</t>
        </is>
      </c>
      <c r="C108" s="12" t="inlineStr">
        <is>
          <t>@dreimers</t>
        </is>
      </c>
      <c r="D108" s="17" t="n">
        <v>46232.5343287037</v>
      </c>
      <c r="E108" s="17" t="n">
        <v>46232.57114583333</v>
      </c>
      <c r="F108" s="7" t="n">
        <v>0.9</v>
      </c>
      <c r="G108" s="7" t="n">
        <v>0</v>
      </c>
      <c r="H108" s="18" t="inlineStr">
        <is>
          <t>2026-07</t>
        </is>
      </c>
      <c r="I108" s="12" t="inlineStr">
        <is>
          <t>Transcepta</t>
        </is>
      </c>
    </row>
    <row r="109">
      <c r="A109" s="12" t="inlineStr">
        <is>
          <t>INV00024052</t>
        </is>
      </c>
      <c r="B109" s="12" t="inlineStr">
        <is>
          <t>Andrea Juarez</t>
        </is>
      </c>
      <c r="C109" s="12" t="inlineStr">
        <is>
          <t>@dreimers</t>
        </is>
      </c>
      <c r="D109" s="17" t="n">
        <v>46232.56387731482</v>
      </c>
      <c r="E109" s="17" t="n">
        <v>46232.58498842592</v>
      </c>
      <c r="F109" s="7" t="n">
        <v>0.5</v>
      </c>
      <c r="G109" s="7" t="n">
        <v>0</v>
      </c>
      <c r="H109" s="18" t="inlineStr">
        <is>
          <t>2026-07</t>
        </is>
      </c>
      <c r="I109" s="12" t="inlineStr">
        <is>
          <t>Ariba</t>
        </is>
      </c>
    </row>
    <row r="110">
      <c r="A110" s="12" t="inlineStr">
        <is>
          <t>465215</t>
        </is>
      </c>
      <c r="B110" s="12" t="inlineStr">
        <is>
          <t>Sebastian Novelo</t>
        </is>
      </c>
      <c r="C110" s="12" t="inlineStr">
        <is>
          <t>@dreimers</t>
        </is>
      </c>
      <c r="D110" s="17" t="n">
        <v>46232.61777777778</v>
      </c>
      <c r="E110" s="17" t="n">
        <v>46233.34712962963</v>
      </c>
      <c r="F110" s="7" t="n">
        <v>17.5</v>
      </c>
      <c r="G110" s="7" t="n">
        <v>0.7</v>
      </c>
      <c r="H110" s="18" t="inlineStr">
        <is>
          <t>2026-07</t>
        </is>
      </c>
      <c r="I110" s="12" t="inlineStr">
        <is>
          <t>Ap National Security S</t>
        </is>
      </c>
    </row>
    <row r="111">
      <c r="A111" s="12" t="inlineStr">
        <is>
          <t>INV00024404</t>
        </is>
      </c>
      <c r="B111" s="12" t="inlineStr">
        <is>
          <t>Jose Novelo</t>
        </is>
      </c>
      <c r="C111" s="12" t="inlineStr">
        <is>
          <t>@dreimers</t>
        </is>
      </c>
      <c r="D111" s="17" t="n">
        <v>46232.68881944445</v>
      </c>
      <c r="E111" s="17" t="n">
        <v>46233.3384375</v>
      </c>
      <c r="F111" s="7" t="n">
        <v>15.6</v>
      </c>
      <c r="G111" s="7" t="n">
        <v>0.6</v>
      </c>
      <c r="H111" s="18" t="inlineStr">
        <is>
          <t>2026-07</t>
        </is>
      </c>
      <c r="I111" s="12" t="inlineStr">
        <is>
          <t>Ariba</t>
        </is>
      </c>
    </row>
    <row r="112">
      <c r="A112" s="12" t="inlineStr">
        <is>
          <t>INV00023868</t>
        </is>
      </c>
      <c r="B112" s="12" t="inlineStr">
        <is>
          <t>Fernando Anaya</t>
        </is>
      </c>
      <c r="C112" s="12" t="inlineStr">
        <is>
          <t>@dreimers</t>
        </is>
      </c>
      <c r="D112" s="17" t="n">
        <v>46233.47881944444</v>
      </c>
      <c r="E112" s="17" t="n">
        <v>46233.56813657407</v>
      </c>
      <c r="F112" s="7" t="n">
        <v>2.1</v>
      </c>
      <c r="G112" s="7" t="n">
        <v>0.1</v>
      </c>
      <c r="H112" s="18" t="inlineStr">
        <is>
          <t>2026-07</t>
        </is>
      </c>
      <c r="I112" s="12" t="inlineStr">
        <is>
          <t>Ariba</t>
        </is>
      </c>
    </row>
    <row r="113">
      <c r="A113" s="12" t="inlineStr"/>
      <c r="B113" s="12" t="inlineStr">
        <is>
          <t>Mario Cortés</t>
        </is>
      </c>
      <c r="C113" s="12" t="inlineStr">
        <is>
          <t>@dreimers</t>
        </is>
      </c>
      <c r="D113" s="17" t="n">
        <v>46233.64915509259</v>
      </c>
      <c r="E113" s="17" t="n">
        <v>46234.42414351852</v>
      </c>
      <c r="F113" s="7" t="n">
        <v>18.6</v>
      </c>
      <c r="G113" s="7" t="n">
        <v>0.8</v>
      </c>
      <c r="H113" s="18" t="inlineStr">
        <is>
          <t>2026-07</t>
        </is>
      </c>
      <c r="I113" s="12" t="inlineStr">
        <is>
          <t>Ariba</t>
        </is>
      </c>
    </row>
    <row r="114">
      <c r="A114" s="12" t="inlineStr">
        <is>
          <t>470461</t>
        </is>
      </c>
      <c r="B114" s="12" t="inlineStr">
        <is>
          <t>Aity Sánchez Sandoval</t>
        </is>
      </c>
      <c r="C114" s="12" t="inlineStr"/>
      <c r="D114" s="17" t="n">
        <v>46233.68688657408</v>
      </c>
      <c r="E114" s="17" t="n">
        <v>46234.4259837963</v>
      </c>
      <c r="F114" s="7" t="n">
        <v>17.7</v>
      </c>
      <c r="G114" s="7" t="n">
        <v>0.7</v>
      </c>
      <c r="H114" s="18" t="inlineStr">
        <is>
          <t>2026-07</t>
        </is>
      </c>
      <c r="I114" s="12" t="inlineStr">
        <is>
          <t>Transcepta</t>
        </is>
      </c>
    </row>
    <row r="115">
      <c r="A115" s="12" t="inlineStr">
        <is>
          <t>465369</t>
        </is>
      </c>
      <c r="B115" s="12" t="inlineStr">
        <is>
          <t>Aity Sánchez Sandoval</t>
        </is>
      </c>
      <c r="C115" s="12" t="inlineStr">
        <is>
          <t>@dreimers</t>
        </is>
      </c>
      <c r="D115" s="17" t="n">
        <v>46233.68875</v>
      </c>
      <c r="E115" s="17" t="n">
        <v>46234.4265162037</v>
      </c>
      <c r="F115" s="7" t="n">
        <v>17.7</v>
      </c>
      <c r="G115" s="7" t="n">
        <v>0.7</v>
      </c>
      <c r="H115" s="18" t="inlineStr">
        <is>
          <t>2026-07</t>
        </is>
      </c>
      <c r="I115" s="12" t="inlineStr">
        <is>
          <t>Transcepta</t>
        </is>
      </c>
    </row>
    <row r="116">
      <c r="A116" s="12" t="inlineStr"/>
      <c r="B116" s="12" t="inlineStr">
        <is>
          <t>Vamshi Dacha</t>
        </is>
      </c>
      <c r="C116" s="12" t="inlineStr">
        <is>
          <t>@dreimers</t>
        </is>
      </c>
      <c r="D116" s="17" t="n">
        <v>46234.34726851852</v>
      </c>
      <c r="E116" s="17" t="n">
        <v>46234.36974537037</v>
      </c>
      <c r="F116" s="7" t="n">
        <v>0.5</v>
      </c>
      <c r="G116" s="7" t="n">
        <v>0</v>
      </c>
      <c r="H116" s="18" t="inlineStr">
        <is>
          <t>2026-07</t>
        </is>
      </c>
      <c r="I116" s="12" t="inlineStr">
        <is>
          <t>Ariba</t>
        </is>
      </c>
    </row>
    <row r="117">
      <c r="A117" s="12" t="inlineStr">
        <is>
          <t>INV00023786</t>
        </is>
      </c>
      <c r="B117" s="12" t="inlineStr">
        <is>
          <t>Daniela Gomez Viscaino</t>
        </is>
      </c>
      <c r="C117" s="12" t="inlineStr">
        <is>
          <t>@dreimers</t>
        </is>
      </c>
      <c r="D117" s="17" t="n">
        <v>46234.50334490741</v>
      </c>
      <c r="E117" s="17" t="n">
        <v>46234.51201388889</v>
      </c>
      <c r="F117" s="7" t="n">
        <v>0.2</v>
      </c>
      <c r="G117" s="7" t="n">
        <v>0</v>
      </c>
      <c r="H117" s="18" t="inlineStr">
        <is>
          <t>2026-07</t>
        </is>
      </c>
      <c r="I117" s="12" t="inlineStr">
        <is>
          <t>Taulia</t>
        </is>
      </c>
    </row>
    <row r="118">
      <c r="A118" s="12" t="inlineStr">
        <is>
          <t>INV00023795</t>
        </is>
      </c>
      <c r="B118" s="12" t="inlineStr">
        <is>
          <t>Daniela Gomez Viscaino</t>
        </is>
      </c>
      <c r="C118" s="12" t="inlineStr">
        <is>
          <t>@dreimers</t>
        </is>
      </c>
      <c r="D118" s="17" t="n">
        <v>46234.50680555555</v>
      </c>
      <c r="E118" s="17" t="n">
        <v>46234.51248842593</v>
      </c>
      <c r="F118" s="7" t="n">
        <v>0.1</v>
      </c>
      <c r="G118" s="7" t="n">
        <v>0</v>
      </c>
      <c r="H118" s="18" t="inlineStr">
        <is>
          <t>2026-07</t>
        </is>
      </c>
      <c r="I118" s="12" t="inlineStr">
        <is>
          <t>Ariba</t>
        </is>
      </c>
    </row>
    <row r="119">
      <c r="A119" s="12" t="inlineStr">
        <is>
          <t>INV00024825</t>
        </is>
      </c>
      <c r="B119" s="12" t="inlineStr">
        <is>
          <t>Cindy Espinola</t>
        </is>
      </c>
      <c r="C119" s="12" t="inlineStr">
        <is>
          <t>@dreimers</t>
        </is>
      </c>
      <c r="D119" s="17" t="n">
        <v>46234.55799768519</v>
      </c>
      <c r="E119" s="17" t="n">
        <v>46234.58166666667</v>
      </c>
      <c r="F119" s="7" t="n">
        <v>0.6</v>
      </c>
      <c r="G119" s="7" t="n">
        <v>0</v>
      </c>
      <c r="H119" s="18" t="inlineStr">
        <is>
          <t>2026-07</t>
        </is>
      </c>
      <c r="I119" s="12" t="inlineStr">
        <is>
          <t>Ariba</t>
        </is>
      </c>
    </row>
    <row r="120">
      <c r="A120" s="12" t="inlineStr">
        <is>
          <t>INV00024822</t>
        </is>
      </c>
      <c r="B120" s="12" t="inlineStr">
        <is>
          <t>Cindy Espinola</t>
        </is>
      </c>
      <c r="C120" s="12" t="inlineStr">
        <is>
          <t>@dreimers</t>
        </is>
      </c>
      <c r="D120" s="17" t="n">
        <v>46234.56266203704</v>
      </c>
      <c r="E120" s="17" t="n">
        <v>46234.58244212963</v>
      </c>
      <c r="F120" s="7" t="n">
        <v>0.5</v>
      </c>
      <c r="G120" s="7" t="n">
        <v>0</v>
      </c>
      <c r="H120" s="18" t="inlineStr">
        <is>
          <t>2026-07</t>
        </is>
      </c>
      <c r="I120" s="12" t="inlineStr">
        <is>
          <t>Ariba</t>
        </is>
      </c>
    </row>
    <row r="121">
      <c r="A121" s="12" t="inlineStr">
        <is>
          <t>INV00024823</t>
        </is>
      </c>
      <c r="B121" s="12" t="inlineStr">
        <is>
          <t>Cindy Espinola</t>
        </is>
      </c>
      <c r="C121" s="12" t="inlineStr">
        <is>
          <t>@dreimers</t>
        </is>
      </c>
      <c r="D121" s="17" t="n">
        <v>46234.56790509259</v>
      </c>
      <c r="E121" s="17" t="n">
        <v>46234.58293981481</v>
      </c>
      <c r="F121" s="7" t="n">
        <v>0.4</v>
      </c>
      <c r="G121" s="7" t="n">
        <v>0</v>
      </c>
      <c r="H121" s="18" t="inlineStr">
        <is>
          <t>2026-07</t>
        </is>
      </c>
      <c r="I121" s="12" t="inlineStr">
        <is>
          <t>Ariba</t>
        </is>
      </c>
    </row>
    <row r="122">
      <c r="A122" s="12" t="inlineStr">
        <is>
          <t>INV00024709</t>
        </is>
      </c>
      <c r="B122" s="12" t="inlineStr">
        <is>
          <t>Andrea Juarez</t>
        </is>
      </c>
      <c r="C122" s="12" t="inlineStr">
        <is>
          <t>@dreimers</t>
        </is>
      </c>
      <c r="D122" s="17" t="n">
        <v>46234.5775462963</v>
      </c>
      <c r="E122" s="17" t="n">
        <v>46234.58412037037</v>
      </c>
      <c r="F122" s="7" t="n">
        <v>0.2</v>
      </c>
      <c r="G122" s="7" t="n">
        <v>0</v>
      </c>
      <c r="H122" s="18" t="inlineStr">
        <is>
          <t>2026-07</t>
        </is>
      </c>
      <c r="I122" s="12" t="inlineStr">
        <is>
          <t>Ariba</t>
        </is>
      </c>
    </row>
    <row r="123">
      <c r="A123" s="12" t="inlineStr">
        <is>
          <t>398434</t>
        </is>
      </c>
      <c r="B123" s="12" t="inlineStr">
        <is>
          <t>Nathan Smith</t>
        </is>
      </c>
      <c r="C123" s="12" t="inlineStr">
        <is>
          <t>@dreimers</t>
        </is>
      </c>
      <c r="D123" s="17" t="n">
        <v>46237.4615625</v>
      </c>
      <c r="E123" s="17" t="n">
        <v>46245.38563657407</v>
      </c>
      <c r="F123" s="7" t="n">
        <v>190.2</v>
      </c>
      <c r="G123" s="7" t="n">
        <v>7.9</v>
      </c>
      <c r="H123" s="18" t="inlineStr">
        <is>
          <t>2026-08</t>
        </is>
      </c>
      <c r="I123" s="12" t="inlineStr">
        <is>
          <t>Portal por URL</t>
        </is>
      </c>
    </row>
    <row r="124">
      <c r="A124" s="12" t="inlineStr">
        <is>
          <t>434853</t>
        </is>
      </c>
      <c r="B124" s="12" t="inlineStr">
        <is>
          <t>Nathan Smith</t>
        </is>
      </c>
      <c r="C124" s="12" t="inlineStr">
        <is>
          <t>@dreimers</t>
        </is>
      </c>
      <c r="D124" s="17" t="n">
        <v>46237.46380787037</v>
      </c>
      <c r="E124" s="17" t="n">
        <v>46245.38638888889</v>
      </c>
      <c r="F124" s="7" t="n">
        <v>190.1</v>
      </c>
      <c r="G124" s="7" t="n">
        <v>7.9</v>
      </c>
      <c r="H124" s="18" t="inlineStr">
        <is>
          <t>2026-08</t>
        </is>
      </c>
      <c r="I124" s="12" t="inlineStr">
        <is>
          <t>Portal por URL</t>
        </is>
      </c>
    </row>
    <row r="125">
      <c r="A125" s="12" t="inlineStr">
        <is>
          <t>INV00023868</t>
        </is>
      </c>
      <c r="B125" s="12" t="inlineStr">
        <is>
          <t>Fernando Anaya</t>
        </is>
      </c>
      <c r="C125" s="12" t="inlineStr">
        <is>
          <t>@dreimers</t>
        </is>
      </c>
      <c r="D125" s="17" t="n">
        <v>46238.47074074074</v>
      </c>
      <c r="E125" s="17" t="n">
        <v>46238.50366898148</v>
      </c>
      <c r="F125" s="7" t="n">
        <v>0.8</v>
      </c>
      <c r="G125" s="7" t="n">
        <v>0</v>
      </c>
      <c r="H125" s="18" t="inlineStr">
        <is>
          <t>2026-08</t>
        </is>
      </c>
      <c r="I125" s="12" t="inlineStr">
        <is>
          <t>Ariba</t>
        </is>
      </c>
    </row>
    <row r="126">
      <c r="A126" s="12" t="inlineStr">
        <is>
          <t>INV00022989</t>
        </is>
      </c>
      <c r="B126" s="12" t="inlineStr">
        <is>
          <t>Fernando Anaya</t>
        </is>
      </c>
      <c r="C126" s="12" t="inlineStr">
        <is>
          <t>@dreimers</t>
        </is>
      </c>
      <c r="D126" s="17" t="n">
        <v>46238.49252314815</v>
      </c>
      <c r="E126" s="17" t="n">
        <v>46238.50547453704</v>
      </c>
      <c r="F126" s="7" t="n">
        <v>0.3</v>
      </c>
      <c r="G126" s="7" t="n">
        <v>0</v>
      </c>
      <c r="H126" s="18" t="inlineStr">
        <is>
          <t>2026-08</t>
        </is>
      </c>
      <c r="I126" s="12" t="inlineStr">
        <is>
          <t>Coupa</t>
        </is>
      </c>
    </row>
    <row r="127">
      <c r="A127" s="12" t="inlineStr">
        <is>
          <t>INV00025400</t>
        </is>
      </c>
      <c r="B127" s="12" t="inlineStr">
        <is>
          <t>Diego Cué Vázquez</t>
        </is>
      </c>
      <c r="C127" s="12" t="inlineStr">
        <is>
          <t>@dreimers</t>
        </is>
      </c>
      <c r="D127" s="17" t="n">
        <v>46238.55826388889</v>
      </c>
      <c r="E127" s="17" t="n">
        <v>46238.58211805556</v>
      </c>
      <c r="F127" s="7" t="n">
        <v>0.6</v>
      </c>
      <c r="G127" s="7" t="n">
        <v>0</v>
      </c>
      <c r="H127" s="18" t="inlineStr">
        <is>
          <t>2026-08</t>
        </is>
      </c>
      <c r="I127" s="12" t="inlineStr">
        <is>
          <t>Ariba</t>
        </is>
      </c>
    </row>
    <row r="128">
      <c r="A128" s="12" t="inlineStr">
        <is>
          <t>468617</t>
        </is>
      </c>
      <c r="B128" s="12" t="inlineStr">
        <is>
          <t>Maria Granja</t>
        </is>
      </c>
      <c r="C128" s="12" t="inlineStr">
        <is>
          <t>@dreimers</t>
        </is>
      </c>
      <c r="D128" s="17" t="n">
        <v>46238.62664351852</v>
      </c>
      <c r="E128" s="17" t="n">
        <v>46245.38673611111</v>
      </c>
      <c r="F128" s="7" t="n">
        <v>162.2</v>
      </c>
      <c r="G128" s="7" t="n">
        <v>6.8</v>
      </c>
      <c r="H128" s="18" t="inlineStr">
        <is>
          <t>2026-08</t>
        </is>
      </c>
      <c r="I128" s="12" t="inlineStr">
        <is>
          <t>Ariba</t>
        </is>
      </c>
    </row>
    <row r="129">
      <c r="A129" s="12" t="inlineStr"/>
      <c r="B129" s="12" t="inlineStr">
        <is>
          <t>Mario Cortés</t>
        </is>
      </c>
      <c r="C129" s="12" t="inlineStr">
        <is>
          <t>@dreimers</t>
        </is>
      </c>
      <c r="D129" s="17" t="n">
        <v>46238.93368055556</v>
      </c>
      <c r="E129" s="17" t="n">
        <v>46239.45921296296</v>
      </c>
      <c r="F129" s="7" t="n">
        <v>12.6</v>
      </c>
      <c r="G129" s="7" t="n">
        <v>0.5</v>
      </c>
      <c r="H129" s="18" t="inlineStr">
        <is>
          <t>2026-08</t>
        </is>
      </c>
      <c r="I129" s="12" t="inlineStr">
        <is>
          <t>Ariba</t>
        </is>
      </c>
    </row>
    <row r="130">
      <c r="A130" s="12" t="inlineStr">
        <is>
          <t>INV00024404</t>
        </is>
      </c>
      <c r="B130" s="12" t="inlineStr">
        <is>
          <t>Abril Marmolejo Portillo</t>
        </is>
      </c>
      <c r="C130" s="12" t="inlineStr">
        <is>
          <t>@dreimers</t>
        </is>
      </c>
      <c r="D130" s="17" t="n">
        <v>46239.46561342593</v>
      </c>
      <c r="E130" s="17" t="n">
        <v>46239.47231481481</v>
      </c>
      <c r="F130" s="7" t="n">
        <v>0.2</v>
      </c>
      <c r="G130" s="7" t="n">
        <v>0</v>
      </c>
      <c r="H130" s="18" t="inlineStr">
        <is>
          <t>2026-08</t>
        </is>
      </c>
      <c r="I130" s="12" t="inlineStr">
        <is>
          <t>Ariba</t>
        </is>
      </c>
    </row>
    <row r="131">
      <c r="A131" s="12" t="inlineStr">
        <is>
          <t>INV00022895</t>
        </is>
      </c>
      <c r="B131" s="12" t="inlineStr">
        <is>
          <t>Fernando Anaya</t>
        </is>
      </c>
      <c r="C131" s="12" t="inlineStr">
        <is>
          <t>@dreimers</t>
        </is>
      </c>
      <c r="D131" s="17" t="n">
        <v>46240.3875</v>
      </c>
      <c r="E131" s="17" t="n">
        <v>46240.38952546296</v>
      </c>
      <c r="F131" s="7" t="n">
        <v>0</v>
      </c>
      <c r="G131" s="7" t="n">
        <v>0</v>
      </c>
      <c r="H131" s="18" t="inlineStr">
        <is>
          <t>2026-08</t>
        </is>
      </c>
      <c r="I131" s="12" t="inlineStr">
        <is>
          <t>Coupa</t>
        </is>
      </c>
    </row>
    <row r="132">
      <c r="A132" s="12" t="inlineStr">
        <is>
          <t>471590</t>
        </is>
      </c>
      <c r="B132" s="12" t="inlineStr">
        <is>
          <t>Paulina Paredes Fernández Turueño</t>
        </is>
      </c>
      <c r="C132" s="12" t="inlineStr">
        <is>
          <t>@dreimers</t>
        </is>
      </c>
      <c r="D132" s="17" t="n">
        <v>46241.59113425926</v>
      </c>
      <c r="E132" s="17" t="n">
        <v>46245.38721064815</v>
      </c>
      <c r="F132" s="7" t="n">
        <v>91.09999999999999</v>
      </c>
      <c r="G132" s="7" t="n">
        <v>3.8</v>
      </c>
      <c r="H132" s="18" t="inlineStr">
        <is>
          <t>2026-08</t>
        </is>
      </c>
      <c r="I132" s="12" t="inlineStr">
        <is>
          <t>Oracle</t>
        </is>
      </c>
    </row>
    <row r="133">
      <c r="A133" s="12" t="inlineStr">
        <is>
          <t>INV00021780</t>
        </is>
      </c>
      <c r="B133" s="12" t="inlineStr">
        <is>
          <t>Fernando Anaya</t>
        </is>
      </c>
      <c r="C133" s="12" t="inlineStr">
        <is>
          <t>@dreimers</t>
        </is>
      </c>
      <c r="D133" s="17" t="n">
        <v>46245.4477662037</v>
      </c>
      <c r="E133" s="17" t="n">
        <v>46245.48166666667</v>
      </c>
      <c r="F133" s="7" t="n">
        <v>0.8</v>
      </c>
      <c r="G133" s="7" t="n">
        <v>0</v>
      </c>
      <c r="H133" s="18" t="inlineStr">
        <is>
          <t>2026-08</t>
        </is>
      </c>
      <c r="I133" s="12" t="inlineStr">
        <is>
          <t>Coupa</t>
        </is>
      </c>
    </row>
    <row r="134">
      <c r="A134" s="12" t="inlineStr">
        <is>
          <t>Best Buy MR Invoice</t>
        </is>
      </c>
      <c r="B134" s="12" t="inlineStr">
        <is>
          <t>Dan Deming</t>
        </is>
      </c>
      <c r="C134" s="12" t="inlineStr">
        <is>
          <t>@dreimers</t>
        </is>
      </c>
      <c r="D134" s="17" t="n">
        <v>46245.46525462963</v>
      </c>
      <c r="E134" s="17" t="n">
        <v>46246.60392361111</v>
      </c>
      <c r="F134" s="7" t="n">
        <v>27.3</v>
      </c>
      <c r="G134" s="7" t="n">
        <v>1.1</v>
      </c>
      <c r="H134" s="18" t="inlineStr">
        <is>
          <t>2026-08</t>
        </is>
      </c>
      <c r="I134" s="12" t="inlineStr">
        <is>
          <t>Ariba</t>
        </is>
      </c>
    </row>
    <row r="135">
      <c r="A135" s="12" t="inlineStr">
        <is>
          <t>INV00025297</t>
        </is>
      </c>
      <c r="B135" s="12" t="inlineStr">
        <is>
          <t>Andrea Juarez</t>
        </is>
      </c>
      <c r="C135" s="12" t="inlineStr">
        <is>
          <t>@dreimers</t>
        </is>
      </c>
      <c r="D135" s="17" t="n">
        <v>46246.55400462963</v>
      </c>
      <c r="E135" s="17" t="n">
        <v>46246.60730324074</v>
      </c>
      <c r="F135" s="7" t="n">
        <v>1.3</v>
      </c>
      <c r="G135" s="7" t="n">
        <v>0.1</v>
      </c>
      <c r="H135" s="18" t="inlineStr">
        <is>
          <t>2026-08</t>
        </is>
      </c>
      <c r="I135" s="12" t="inlineStr">
        <is>
          <t>Coupa</t>
        </is>
      </c>
    </row>
    <row r="136">
      <c r="A136" s="12" t="inlineStr">
        <is>
          <t>INV00025767</t>
        </is>
      </c>
      <c r="B136" s="12" t="inlineStr">
        <is>
          <t>Andrea Juarez</t>
        </is>
      </c>
      <c r="C136" s="12" t="inlineStr">
        <is>
          <t>@dreimers</t>
        </is>
      </c>
      <c r="D136" s="17" t="n">
        <v>46246.55527777778</v>
      </c>
      <c r="E136" s="17" t="n">
        <v>46246.61056712963</v>
      </c>
      <c r="F136" s="7" t="n">
        <v>1.3</v>
      </c>
      <c r="G136" s="7" t="n">
        <v>0.1</v>
      </c>
      <c r="H136" s="18" t="inlineStr">
        <is>
          <t>2026-08</t>
        </is>
      </c>
      <c r="I136" s="12" t="inlineStr">
        <is>
          <t>Ariba</t>
        </is>
      </c>
    </row>
    <row r="137">
      <c r="A137" s="12" t="inlineStr">
        <is>
          <t>INV00025534</t>
        </is>
      </c>
      <c r="B137" s="12" t="inlineStr">
        <is>
          <t>Mario Cortés</t>
        </is>
      </c>
      <c r="C137" s="12" t="inlineStr">
        <is>
          <t>@aprilj</t>
        </is>
      </c>
      <c r="D137" s="17" t="n">
        <v>46247.40533564815</v>
      </c>
      <c r="E137" s="17" t="n">
        <v>46247.41260416667</v>
      </c>
      <c r="F137" s="7" t="n">
        <v>0.2</v>
      </c>
      <c r="G137" s="7" t="n">
        <v>0</v>
      </c>
      <c r="H137" s="18" t="inlineStr">
        <is>
          <t>2026-08</t>
        </is>
      </c>
      <c r="I137" s="12" t="inlineStr">
        <is>
          <t>Coupa</t>
        </is>
      </c>
    </row>
    <row r="138">
      <c r="A138" s="12" t="inlineStr">
        <is>
          <t>INV00026113</t>
        </is>
      </c>
      <c r="B138" s="12" t="inlineStr">
        <is>
          <t>Cindy Espinola</t>
        </is>
      </c>
      <c r="C138" s="12" t="inlineStr">
        <is>
          <t>@aprilj</t>
        </is>
      </c>
      <c r="D138" s="17" t="n">
        <v>46247.45466435186</v>
      </c>
      <c r="E138" s="17" t="n">
        <v>46247.55512731482</v>
      </c>
      <c r="F138" s="7" t="n">
        <v>2.4</v>
      </c>
      <c r="G138" s="7" t="n">
        <v>0.1</v>
      </c>
      <c r="H138" s="18" t="inlineStr">
        <is>
          <t>2026-08</t>
        </is>
      </c>
      <c r="I138" s="12" t="inlineStr">
        <is>
          <t>Ariba</t>
        </is>
      </c>
    </row>
    <row r="139">
      <c r="A139" s="12" t="inlineStr">
        <is>
          <t>466580</t>
        </is>
      </c>
      <c r="B139" s="12" t="inlineStr">
        <is>
          <t>Mario Cortés</t>
        </is>
      </c>
      <c r="C139" s="12" t="inlineStr">
        <is>
          <t>@dreimers</t>
        </is>
      </c>
      <c r="D139" s="17" t="n">
        <v>46247.58409722222</v>
      </c>
      <c r="E139" s="17" t="n">
        <v>46266.73827546297</v>
      </c>
      <c r="F139" s="7" t="n">
        <v>459.7</v>
      </c>
      <c r="G139" s="7" t="n">
        <v>19.2</v>
      </c>
      <c r="H139" s="18" t="inlineStr">
        <is>
          <t>2026-08</t>
        </is>
      </c>
      <c r="I139" s="12" t="inlineStr">
        <is>
          <t>Www.Vendors.Gov.Sg</t>
        </is>
      </c>
    </row>
    <row r="140">
      <c r="A140" s="12" t="inlineStr"/>
      <c r="B140" s="12" t="inlineStr">
        <is>
          <t>Mario Cortés</t>
        </is>
      </c>
      <c r="C140" s="12" t="inlineStr"/>
      <c r="D140" s="17" t="n">
        <v>46251.60581018519</v>
      </c>
      <c r="E140" s="17" t="n"/>
      <c r="F140" s="7" t="n"/>
      <c r="G140" s="7" t="n"/>
      <c r="H140" s="18" t="inlineStr">
        <is>
          <t>2026-08</t>
        </is>
      </c>
      <c r="I140" s="12" t="inlineStr">
        <is>
          <t>Taulia</t>
        </is>
      </c>
    </row>
    <row r="141">
      <c r="A141" s="12" t="inlineStr"/>
      <c r="B141" s="12" t="inlineStr">
        <is>
          <t>Andres Prieto</t>
        </is>
      </c>
      <c r="C141" s="12" t="inlineStr">
        <is>
          <t>@dreimers</t>
        </is>
      </c>
      <c r="D141" s="17" t="n">
        <v>46251.65428240741</v>
      </c>
      <c r="E141" s="17" t="n">
        <v>46252.31541666666</v>
      </c>
      <c r="F141" s="7" t="n">
        <v>15.9</v>
      </c>
      <c r="G141" s="7" t="n">
        <v>0.7</v>
      </c>
      <c r="H141" s="18" t="inlineStr">
        <is>
          <t>2026-08</t>
        </is>
      </c>
      <c r="I141" s="12" t="inlineStr">
        <is>
          <t>Taulia</t>
        </is>
      </c>
    </row>
    <row r="142">
      <c r="A142" s="12" t="inlineStr">
        <is>
          <t>INV00025761</t>
        </is>
      </c>
      <c r="B142" s="12" t="inlineStr">
        <is>
          <t>Andrea Juarez</t>
        </is>
      </c>
      <c r="C142" s="12" t="inlineStr">
        <is>
          <t>@dreimers</t>
        </is>
      </c>
      <c r="D142" s="17" t="n">
        <v>46251.78457175926</v>
      </c>
      <c r="E142" s="17" t="n">
        <v>46252.38494212963</v>
      </c>
      <c r="F142" s="7" t="n">
        <v>14.4</v>
      </c>
      <c r="G142" s="7" t="n">
        <v>0.6</v>
      </c>
      <c r="H142" s="18" t="inlineStr">
        <is>
          <t>2026-08</t>
        </is>
      </c>
      <c r="I142" s="12" t="inlineStr">
        <is>
          <t>Coupa</t>
        </is>
      </c>
    </row>
    <row r="143">
      <c r="A143" s="12" t="inlineStr">
        <is>
          <t>INV00025652</t>
        </is>
      </c>
      <c r="B143" s="12" t="inlineStr">
        <is>
          <t>George Kahy</t>
        </is>
      </c>
      <c r="C143" s="12" t="inlineStr">
        <is>
          <t>@aprilj</t>
        </is>
      </c>
      <c r="D143" s="17" t="n">
        <v>46251.89958333333</v>
      </c>
      <c r="E143" s="17" t="n">
        <v>46252.29947916666</v>
      </c>
      <c r="F143" s="7" t="n">
        <v>9.6</v>
      </c>
      <c r="G143" s="7" t="n">
        <v>0.4</v>
      </c>
      <c r="H143" s="18" t="inlineStr">
        <is>
          <t>2026-08</t>
        </is>
      </c>
      <c r="I143" s="12" t="inlineStr">
        <is>
          <t>Coupa</t>
        </is>
      </c>
    </row>
    <row r="144">
      <c r="A144" s="12" t="inlineStr">
        <is>
          <t>INV00023883</t>
        </is>
      </c>
      <c r="B144" s="12" t="inlineStr">
        <is>
          <t>George Kahy</t>
        </is>
      </c>
      <c r="C144" s="12" t="inlineStr">
        <is>
          <t>@aprilj</t>
        </is>
      </c>
      <c r="D144" s="17" t="n">
        <v>46252.10716435185</v>
      </c>
      <c r="E144" s="17" t="n">
        <v>46252.30134259259</v>
      </c>
      <c r="F144" s="7" t="n">
        <v>4.7</v>
      </c>
      <c r="G144" s="7" t="n">
        <v>0.2</v>
      </c>
      <c r="H144" s="18" t="inlineStr">
        <is>
          <t>2026-08</t>
        </is>
      </c>
      <c r="I144" s="12" t="inlineStr">
        <is>
          <t>Ariba</t>
        </is>
      </c>
    </row>
    <row r="145">
      <c r="A145" s="12" t="inlineStr">
        <is>
          <t>INV00025761</t>
        </is>
      </c>
      <c r="B145" s="12" t="inlineStr">
        <is>
          <t>Alejandro Salazar Copado</t>
        </is>
      </c>
      <c r="C145" s="12" t="inlineStr">
        <is>
          <t>@dreimers</t>
        </is>
      </c>
      <c r="D145" s="17" t="n">
        <v>46252.48598379629</v>
      </c>
      <c r="E145" s="17" t="n">
        <v>46252.48894675926</v>
      </c>
      <c r="F145" s="7" t="n">
        <v>0.1</v>
      </c>
      <c r="G145" s="7" t="n">
        <v>0</v>
      </c>
      <c r="H145" s="18" t="inlineStr">
        <is>
          <t>2026-08</t>
        </is>
      </c>
      <c r="I145" s="12" t="inlineStr">
        <is>
          <t>Coupa</t>
        </is>
      </c>
    </row>
    <row r="146">
      <c r="A146" s="12" t="inlineStr">
        <is>
          <t>INV00026379</t>
        </is>
      </c>
      <c r="B146" s="12" t="inlineStr">
        <is>
          <t>Diego Cué Vázquez</t>
        </is>
      </c>
      <c r="C146" s="12" t="inlineStr">
        <is>
          <t>@dreimers</t>
        </is>
      </c>
      <c r="D146" s="17" t="n">
        <v>46252.5265625</v>
      </c>
      <c r="E146" s="17" t="n">
        <v>46252.578125</v>
      </c>
      <c r="F146" s="7" t="n">
        <v>1.2</v>
      </c>
      <c r="G146" s="7" t="n">
        <v>0.1</v>
      </c>
      <c r="H146" s="18" t="inlineStr">
        <is>
          <t>2026-08</t>
        </is>
      </c>
      <c r="I146" s="12" t="inlineStr">
        <is>
          <t>Coupa</t>
        </is>
      </c>
    </row>
    <row r="147">
      <c r="A147" s="12" t="inlineStr">
        <is>
          <t>INV00026390</t>
        </is>
      </c>
      <c r="B147" s="12" t="inlineStr">
        <is>
          <t>Yulian Trishch</t>
        </is>
      </c>
      <c r="C147" s="12" t="inlineStr">
        <is>
          <t>@dreimers</t>
        </is>
      </c>
      <c r="D147" s="17" t="n">
        <v>46253.14837962963</v>
      </c>
      <c r="E147" s="17" t="n">
        <v>46253.49686342593</v>
      </c>
      <c r="F147" s="7" t="n">
        <v>8.4</v>
      </c>
      <c r="G147" s="7" t="n">
        <v>0.3</v>
      </c>
      <c r="H147" s="18" t="inlineStr">
        <is>
          <t>2026-08</t>
        </is>
      </c>
      <c r="I147" s="12" t="inlineStr">
        <is>
          <t>Tradeinterop</t>
        </is>
      </c>
    </row>
    <row r="148">
      <c r="A148" s="12" t="inlineStr">
        <is>
          <t>467656</t>
        </is>
      </c>
      <c r="B148" s="12" t="inlineStr">
        <is>
          <t>Viki Kovaliv</t>
        </is>
      </c>
      <c r="C148" s="12" t="inlineStr">
        <is>
          <t>@dreimers</t>
        </is>
      </c>
      <c r="D148" s="17" t="n">
        <v>46253.22612268518</v>
      </c>
      <c r="E148" s="17" t="n">
        <v>46254.62723379629</v>
      </c>
      <c r="F148" s="7" t="n">
        <v>33.6</v>
      </c>
      <c r="G148" s="7" t="n">
        <v>1.4</v>
      </c>
      <c r="H148" s="18" t="inlineStr">
        <is>
          <t>2026-08</t>
        </is>
      </c>
      <c r="I148" s="12" t="inlineStr">
        <is>
          <t>Oracle</t>
        </is>
      </c>
    </row>
    <row r="149">
      <c r="A149" s="12" t="inlineStr">
        <is>
          <t>INV00025781</t>
        </is>
      </c>
      <c r="B149" s="12" t="inlineStr">
        <is>
          <t>Sebastian Novelo</t>
        </is>
      </c>
      <c r="C149" s="12" t="inlineStr">
        <is>
          <t>@dreimers</t>
        </is>
      </c>
      <c r="D149" s="17" t="n">
        <v>46254.65672453704</v>
      </c>
      <c r="E149" s="17" t="n">
        <v>46254.67521990741</v>
      </c>
      <c r="F149" s="7" t="n">
        <v>0.4</v>
      </c>
      <c r="G149" s="7" t="n">
        <v>0</v>
      </c>
      <c r="H149" s="18" t="inlineStr">
        <is>
          <t>2026-08</t>
        </is>
      </c>
      <c r="I149" s="12" t="inlineStr">
        <is>
          <t>Ariba</t>
        </is>
      </c>
    </row>
    <row r="150">
      <c r="A150" s="12" t="inlineStr">
        <is>
          <t>471857</t>
        </is>
      </c>
      <c r="B150" s="12" t="inlineStr">
        <is>
          <t>Jose Novelo</t>
        </is>
      </c>
      <c r="C150" s="12" t="inlineStr">
        <is>
          <t>@dreimers</t>
        </is>
      </c>
      <c r="D150" s="17" t="n">
        <v>46255.44009259259</v>
      </c>
      <c r="E150" s="17" t="n"/>
      <c r="F150" s="7" t="n"/>
      <c r="G150" s="7" t="n"/>
      <c r="H150" s="18" t="inlineStr">
        <is>
          <t>2026-08</t>
        </is>
      </c>
      <c r="I150" s="12" t="inlineStr">
        <is>
          <t>Peppol</t>
        </is>
      </c>
    </row>
    <row r="151">
      <c r="A151" s="12" t="inlineStr">
        <is>
          <t>INV00023536</t>
        </is>
      </c>
      <c r="B151" s="12" t="inlineStr">
        <is>
          <t>Yulian Trishch</t>
        </is>
      </c>
      <c r="C151" s="12" t="inlineStr">
        <is>
          <t>@dreimers</t>
        </is>
      </c>
      <c r="D151" s="17" t="n">
        <v>46258.33956018519</v>
      </c>
      <c r="E151" s="17" t="n">
        <v>46258.6808912037</v>
      </c>
      <c r="F151" s="7" t="n">
        <v>8.199999999999999</v>
      </c>
      <c r="G151" s="7" t="n">
        <v>0.3</v>
      </c>
      <c r="H151" s="18" t="inlineStr">
        <is>
          <t>2026-08</t>
        </is>
      </c>
      <c r="I151" s="12" t="inlineStr">
        <is>
          <t>Coupa</t>
        </is>
      </c>
    </row>
    <row r="152">
      <c r="A152" s="12" t="inlineStr">
        <is>
          <t>INV00026412</t>
        </is>
      </c>
      <c r="B152" s="12" t="inlineStr">
        <is>
          <t>Alejandro Salazar Copado</t>
        </is>
      </c>
      <c r="C152" s="12" t="inlineStr">
        <is>
          <t>@dreimers</t>
        </is>
      </c>
      <c r="D152" s="17" t="n">
        <v>46258.52960648148</v>
      </c>
      <c r="E152" s="17" t="n">
        <v>46258.69270833334</v>
      </c>
      <c r="F152" s="7" t="n">
        <v>3.9</v>
      </c>
      <c r="G152" s="7" t="n">
        <v>0.2</v>
      </c>
      <c r="H152" s="18" t="inlineStr">
        <is>
          <t>2026-08</t>
        </is>
      </c>
      <c r="I152" s="12" t="inlineStr">
        <is>
          <t>Coupa</t>
        </is>
      </c>
    </row>
    <row r="153">
      <c r="A153" s="12" t="inlineStr">
        <is>
          <t>460092</t>
        </is>
      </c>
      <c r="B153" s="12" t="inlineStr">
        <is>
          <t>Braulio Sánchez Chávez</t>
        </is>
      </c>
      <c r="C153" s="12" t="inlineStr">
        <is>
          <t>@dreimers</t>
        </is>
      </c>
      <c r="D153" s="17" t="n">
        <v>46259.45118055555</v>
      </c>
      <c r="E153" s="17" t="n">
        <v>46259.69587962963</v>
      </c>
      <c r="F153" s="7" t="n">
        <v>5.9</v>
      </c>
      <c r="G153" s="7" t="n">
        <v>0.2</v>
      </c>
      <c r="H153" s="18" t="inlineStr">
        <is>
          <t>2026-08</t>
        </is>
      </c>
      <c r="I153" s="12" t="inlineStr">
        <is>
          <t>Coupa</t>
        </is>
      </c>
    </row>
    <row r="154">
      <c r="A154" s="12" t="inlineStr">
        <is>
          <t>456316</t>
        </is>
      </c>
      <c r="B154" s="12" t="inlineStr">
        <is>
          <t>Luisa Mancilla</t>
        </is>
      </c>
      <c r="C154" s="12" t="inlineStr">
        <is>
          <t>@aprilj</t>
        </is>
      </c>
      <c r="D154" s="17" t="n">
        <v>46259.45444444445</v>
      </c>
      <c r="E154" s="17" t="n"/>
      <c r="F154" s="7" t="n"/>
      <c r="G154" s="7" t="n"/>
      <c r="H154" s="18" t="inlineStr">
        <is>
          <t>2026-08</t>
        </is>
      </c>
      <c r="I154" s="12" t="inlineStr">
        <is>
          <t>Coupa</t>
        </is>
      </c>
    </row>
    <row r="155">
      <c r="A155" s="12" t="inlineStr">
        <is>
          <t>456957</t>
        </is>
      </c>
      <c r="B155" s="12" t="inlineStr">
        <is>
          <t>Braulio Sánchez Chávez</t>
        </is>
      </c>
      <c r="C155" s="12" t="inlineStr">
        <is>
          <t>@dreimers</t>
        </is>
      </c>
      <c r="D155" s="17" t="n">
        <v>46259.45601851852</v>
      </c>
      <c r="E155" s="17" t="n">
        <v>46259.69956018519</v>
      </c>
      <c r="F155" s="7" t="n">
        <v>5.8</v>
      </c>
      <c r="G155" s="7" t="n">
        <v>0.2</v>
      </c>
      <c r="H155" s="18" t="inlineStr">
        <is>
          <t>2026-08</t>
        </is>
      </c>
      <c r="I155" s="12" t="inlineStr">
        <is>
          <t>Coupa</t>
        </is>
      </c>
    </row>
    <row r="156">
      <c r="A156" s="12" t="inlineStr">
        <is>
          <t>INV00025064</t>
        </is>
      </c>
      <c r="B156" s="12" t="inlineStr">
        <is>
          <t>Braulio Sánchez Chávez</t>
        </is>
      </c>
      <c r="C156" s="12" t="inlineStr">
        <is>
          <t>@dreimers</t>
        </is>
      </c>
      <c r="D156" s="17" t="n">
        <v>46259.4687037037</v>
      </c>
      <c r="E156" s="17" t="n">
        <v>46259.70200231481</v>
      </c>
      <c r="F156" s="7" t="n">
        <v>5.6</v>
      </c>
      <c r="G156" s="7" t="n">
        <v>0.2</v>
      </c>
      <c r="H156" s="18" t="inlineStr">
        <is>
          <t>2026-08</t>
        </is>
      </c>
      <c r="I156" s="12" t="inlineStr">
        <is>
          <t>Coupa</t>
        </is>
      </c>
    </row>
    <row r="157">
      <c r="A157" s="12" t="inlineStr">
        <is>
          <t>INV00023970</t>
        </is>
      </c>
      <c r="B157" s="12" t="inlineStr">
        <is>
          <t>Braulio Sánchez Chávez</t>
        </is>
      </c>
      <c r="C157" s="12" t="inlineStr">
        <is>
          <t>@dreimers</t>
        </is>
      </c>
      <c r="D157" s="17" t="n">
        <v>46259.48753472222</v>
      </c>
      <c r="E157" s="17" t="n">
        <v>46259.70475694445</v>
      </c>
      <c r="F157" s="7" t="n">
        <v>5.2</v>
      </c>
      <c r="G157" s="7" t="n">
        <v>0.2</v>
      </c>
      <c r="H157" s="18" t="inlineStr">
        <is>
          <t>2026-08</t>
        </is>
      </c>
      <c r="I157" s="12" t="inlineStr">
        <is>
          <t>Coupa</t>
        </is>
      </c>
    </row>
    <row r="158">
      <c r="A158" s="12" t="inlineStr">
        <is>
          <t>471943</t>
        </is>
      </c>
      <c r="B158" s="12" t="inlineStr">
        <is>
          <t>Fabrizio Rico del Mazo</t>
        </is>
      </c>
      <c r="C158" s="12" t="inlineStr">
        <is>
          <t>@dreimers</t>
        </is>
      </c>
      <c r="D158" s="17" t="n">
        <v>46259.6369675926</v>
      </c>
      <c r="E158" s="17" t="n"/>
      <c r="F158" s="7" t="n"/>
      <c r="G158" s="7" t="n"/>
      <c r="H158" s="18" t="inlineStr">
        <is>
          <t>2026-08</t>
        </is>
      </c>
      <c r="I158" s="12" t="inlineStr">
        <is>
          <t>Tungsten</t>
        </is>
      </c>
    </row>
    <row r="159">
      <c r="A159" s="12" t="inlineStr">
        <is>
          <t>INV00022213</t>
        </is>
      </c>
      <c r="B159" s="12" t="inlineStr">
        <is>
          <t>Andrea Toscano Rosales</t>
        </is>
      </c>
      <c r="C159" s="12" t="inlineStr"/>
      <c r="D159" s="17" t="n">
        <v>46260.45311342592</v>
      </c>
      <c r="E159" s="17" t="n">
        <v>46260.74804398148</v>
      </c>
      <c r="F159" s="7" t="n">
        <v>7.1</v>
      </c>
      <c r="G159" s="7" t="n">
        <v>0.3</v>
      </c>
      <c r="H159" s="18" t="inlineStr">
        <is>
          <t>2026-08</t>
        </is>
      </c>
      <c r="I159" s="12" t="inlineStr">
        <is>
          <t>Taulia</t>
        </is>
      </c>
    </row>
    <row r="160">
      <c r="A160" s="12" t="inlineStr">
        <is>
          <t>INV00023050</t>
        </is>
      </c>
      <c r="B160" s="12" t="inlineStr">
        <is>
          <t>Andrea Toscano Rosales</t>
        </is>
      </c>
      <c r="C160" s="12" t="inlineStr"/>
      <c r="D160" s="17" t="n">
        <v>46260.48914351852</v>
      </c>
      <c r="E160" s="17" t="n">
        <v>46260.74846064814</v>
      </c>
      <c r="F160" s="7" t="n">
        <v>6.2</v>
      </c>
      <c r="G160" s="7" t="n">
        <v>0.3</v>
      </c>
      <c r="H160" s="18" t="inlineStr">
        <is>
          <t>2026-08</t>
        </is>
      </c>
      <c r="I160" s="12" t="inlineStr">
        <is>
          <t>Taulia</t>
        </is>
      </c>
    </row>
    <row r="161">
      <c r="A161" s="12" t="inlineStr"/>
      <c r="B161" s="12" t="inlineStr">
        <is>
          <t>Mario Cortés</t>
        </is>
      </c>
      <c r="C161" s="12" t="inlineStr"/>
      <c r="D161" s="17" t="n">
        <v>46260.5043287037</v>
      </c>
      <c r="E161" s="17" t="n">
        <v>46260.74892361111</v>
      </c>
      <c r="F161" s="7" t="n">
        <v>5.9</v>
      </c>
      <c r="G161" s="7" t="n">
        <v>0.2</v>
      </c>
      <c r="H161" s="18" t="inlineStr">
        <is>
          <t>2026-08</t>
        </is>
      </c>
      <c r="I161" s="12" t="inlineStr">
        <is>
          <t>Coupa</t>
        </is>
      </c>
    </row>
    <row r="162">
      <c r="A162" s="12" t="inlineStr">
        <is>
          <t>INV00025515</t>
        </is>
      </c>
      <c r="B162" s="12" t="inlineStr">
        <is>
          <t>Andrea Toscano Rosales</t>
        </is>
      </c>
      <c r="C162" s="12" t="inlineStr">
        <is>
          <t>@dreimers</t>
        </is>
      </c>
      <c r="D162" s="17" t="n">
        <v>46260.6129050926</v>
      </c>
      <c r="E162" s="17" t="n">
        <v>46260.7539699074</v>
      </c>
      <c r="F162" s="7" t="n">
        <v>3.4</v>
      </c>
      <c r="G162" s="7" t="n">
        <v>0.1</v>
      </c>
      <c r="H162" s="18" t="inlineStr">
        <is>
          <t>2026-08</t>
        </is>
      </c>
      <c r="I162" s="12" t="inlineStr">
        <is>
          <t>Coupa</t>
        </is>
      </c>
    </row>
    <row r="163">
      <c r="A163" s="12" t="inlineStr">
        <is>
          <t>TEST</t>
        </is>
      </c>
      <c r="B163" s="12" t="inlineStr">
        <is>
          <t>Alejandra Mendoza</t>
        </is>
      </c>
      <c r="C163" s="12" t="inlineStr">
        <is>
          <t>@dreimers</t>
        </is>
      </c>
      <c r="D163" s="17" t="n">
        <v>46260.66341435185</v>
      </c>
      <c r="E163" s="17" t="n">
        <v>46260.66575231482</v>
      </c>
      <c r="F163" s="7" t="n">
        <v>0.1</v>
      </c>
      <c r="G163" s="7" t="n">
        <v>0</v>
      </c>
      <c r="H163" s="18" t="inlineStr">
        <is>
          <t>2026-08</t>
        </is>
      </c>
      <c r="I163" s="12" t="inlineStr">
        <is>
          <t>Sin dato</t>
        </is>
      </c>
    </row>
    <row r="164">
      <c r="A164" s="12" t="inlineStr">
        <is>
          <t>INV00026750</t>
        </is>
      </c>
      <c r="B164" s="12" t="inlineStr">
        <is>
          <t>Regina Peña</t>
        </is>
      </c>
      <c r="C164" s="12" t="inlineStr">
        <is>
          <t>@dreimers</t>
        </is>
      </c>
      <c r="D164" s="17" t="n">
        <v>46262.42390046296</v>
      </c>
      <c r="E164" s="17" t="n">
        <v>46262.75164351852</v>
      </c>
      <c r="F164" s="7" t="n">
        <v>7.9</v>
      </c>
      <c r="G164" s="7" t="n">
        <v>0.3</v>
      </c>
      <c r="H164" s="18" t="inlineStr">
        <is>
          <t>2026-08</t>
        </is>
      </c>
      <c r="I164" s="12" t="inlineStr">
        <is>
          <t>Ariba</t>
        </is>
      </c>
    </row>
    <row r="165">
      <c r="A165" s="12" t="inlineStr">
        <is>
          <t>INV00020977</t>
        </is>
      </c>
      <c r="B165" s="12" t="inlineStr">
        <is>
          <t>Mario Cortés</t>
        </is>
      </c>
      <c r="C165" s="12" t="inlineStr">
        <is>
          <t>@dreimers</t>
        </is>
      </c>
      <c r="D165" s="17" t="n">
        <v>46262.46074074074</v>
      </c>
      <c r="E165" s="17" t="n">
        <v>46262.75387731481</v>
      </c>
      <c r="F165" s="7" t="n">
        <v>7</v>
      </c>
      <c r="G165" s="7" t="n">
        <v>0.3</v>
      </c>
      <c r="H165" s="18" t="inlineStr">
        <is>
          <t>2026-08</t>
        </is>
      </c>
      <c r="I165" s="12" t="inlineStr">
        <is>
          <t>Oracle</t>
        </is>
      </c>
    </row>
    <row r="166">
      <c r="A166" s="12" t="inlineStr"/>
      <c r="B166" s="12" t="inlineStr">
        <is>
          <t>Mario Cortés</t>
        </is>
      </c>
      <c r="C166" s="12" t="inlineStr">
        <is>
          <t>@dreimers</t>
        </is>
      </c>
      <c r="D166" s="17" t="n">
        <v>46262.56922453704</v>
      </c>
      <c r="E166" s="17" t="n">
        <v>46262.7541550926</v>
      </c>
      <c r="F166" s="7" t="n">
        <v>4.4</v>
      </c>
      <c r="G166" s="7" t="n">
        <v>0.2</v>
      </c>
      <c r="H166" s="18" t="inlineStr">
        <is>
          <t>2026-08</t>
        </is>
      </c>
      <c r="I166" s="12" t="inlineStr">
        <is>
          <t>Coupa</t>
        </is>
      </c>
    </row>
    <row r="167">
      <c r="A167" s="12" t="inlineStr">
        <is>
          <t>INV00022414</t>
        </is>
      </c>
      <c r="B167" s="12" t="inlineStr">
        <is>
          <t>Edgar Pérez</t>
        </is>
      </c>
      <c r="C167" s="12" t="inlineStr">
        <is>
          <t>@dreimers</t>
        </is>
      </c>
      <c r="D167" s="17" t="n">
        <v>46265.46298611111</v>
      </c>
      <c r="E167" s="17" t="n">
        <v>46265.7983912037</v>
      </c>
      <c r="F167" s="7" t="n">
        <v>8</v>
      </c>
      <c r="G167" s="7" t="n">
        <v>0.3</v>
      </c>
      <c r="H167" s="18" t="inlineStr">
        <is>
          <t>2026-08</t>
        </is>
      </c>
      <c r="I167" s="12" t="inlineStr">
        <is>
          <t>Coupa</t>
        </is>
      </c>
    </row>
    <row r="168">
      <c r="A168" s="12" t="inlineStr">
        <is>
          <t>472012</t>
        </is>
      </c>
      <c r="B168" s="12" t="inlineStr">
        <is>
          <t>Daniela Gomez Viscaino</t>
        </is>
      </c>
      <c r="C168" s="12" t="inlineStr">
        <is>
          <t>@dreimers</t>
        </is>
      </c>
      <c r="D168" s="17" t="n">
        <v>46265.5284375</v>
      </c>
      <c r="E168" s="17" t="n">
        <v>46265.80060185185</v>
      </c>
      <c r="F168" s="7" t="n">
        <v>6.5</v>
      </c>
      <c r="G168" s="7" t="n">
        <v>0.3</v>
      </c>
      <c r="H168" s="18" t="inlineStr">
        <is>
          <t>2026-08</t>
        </is>
      </c>
      <c r="I168" s="12" t="inlineStr">
        <is>
          <t>Ariba</t>
        </is>
      </c>
    </row>
    <row r="169">
      <c r="A169" s="12" t="inlineStr"/>
      <c r="B169" s="12" t="inlineStr">
        <is>
          <t>Mario Cortés</t>
        </is>
      </c>
      <c r="C169" s="12" t="inlineStr"/>
      <c r="D169" s="17" t="n">
        <v>46267.4621412037</v>
      </c>
      <c r="E169" s="17" t="n"/>
      <c r="F169" s="7" t="n"/>
      <c r="G169" s="7" t="n"/>
      <c r="H169" s="18" t="inlineStr">
        <is>
          <t>2026-09</t>
        </is>
      </c>
      <c r="I169" s="12" t="inlineStr">
        <is>
          <t>Coupa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24" customWidth="1" min="1" max="1"/>
    <col width="22" customWidth="1" min="2" max="2"/>
    <col width="16" customWidth="1" min="3" max="3"/>
    <col width="16" customWidth="1" min="4" max="4"/>
    <col width="20" customWidth="1" min="5" max="5"/>
    <col width="20" customWidth="1" min="6" max="6"/>
    <col width="16" customWidth="1" min="7" max="7"/>
  </cols>
  <sheetData>
    <row r="1">
      <c r="A1" s="19" t="inlineStr">
        <is>
          <t>CASOS ATÍPICOS DE AGOSTO — Resolución mayor a 7 días</t>
        </is>
      </c>
    </row>
    <row r="2">
      <c r="A2" s="2" t="inlineStr">
        <is>
          <t>3 uploads de agosto superaron los 7 días.</t>
        </is>
      </c>
    </row>
    <row r="4">
      <c r="A4" s="4" t="inlineStr">
        <is>
          <t>Invoice Number</t>
        </is>
      </c>
      <c r="B4" s="4" t="inlineStr">
        <is>
          <t>Submitted By</t>
        </is>
      </c>
      <c r="C4" s="4" t="inlineStr">
        <is>
          <t>Collector assigned</t>
        </is>
      </c>
      <c r="D4" s="4" t="inlineStr">
        <is>
          <t>Portal</t>
        </is>
      </c>
      <c r="E4" s="4" t="inlineStr">
        <is>
          <t>Submit Timestamp</t>
        </is>
      </c>
      <c r="F4" s="4" t="inlineStr">
        <is>
          <t>Resolved Timestamp</t>
        </is>
      </c>
      <c r="G4" s="4" t="inlineStr">
        <is>
          <t>Días de resolución</t>
        </is>
      </c>
    </row>
    <row r="5">
      <c r="A5" s="12" t="inlineStr">
        <is>
          <t>466580</t>
        </is>
      </c>
      <c r="B5" s="12" t="inlineStr">
        <is>
          <t>Mario Cortés</t>
        </is>
      </c>
      <c r="C5" s="12" t="inlineStr">
        <is>
          <t>@dreimers</t>
        </is>
      </c>
      <c r="D5" s="12" t="inlineStr">
        <is>
          <t>Www.Vendors.Gov.Sg</t>
        </is>
      </c>
      <c r="E5" s="17" t="n">
        <v>46247.58409722222</v>
      </c>
      <c r="F5" s="17" t="n">
        <v>46266.73827546297</v>
      </c>
      <c r="G5" s="20">
        <f>(F5-E5)</f>
        <v/>
      </c>
    </row>
    <row r="6">
      <c r="A6" s="12" t="inlineStr">
        <is>
          <t>398434</t>
        </is>
      </c>
      <c r="B6" s="12" t="inlineStr">
        <is>
          <t>Nathan Smith</t>
        </is>
      </c>
      <c r="C6" s="12" t="inlineStr">
        <is>
          <t>@dreimers</t>
        </is>
      </c>
      <c r="D6" s="12" t="inlineStr">
        <is>
          <t>Portal por URL</t>
        </is>
      </c>
      <c r="E6" s="17" t="n">
        <v>46237.4615625</v>
      </c>
      <c r="F6" s="17" t="n">
        <v>46245.38563657407</v>
      </c>
      <c r="G6" s="20">
        <f>(F6-E6)</f>
        <v/>
      </c>
    </row>
    <row r="7">
      <c r="A7" s="12" t="inlineStr">
        <is>
          <t>434853</t>
        </is>
      </c>
      <c r="B7" s="12" t="inlineStr">
        <is>
          <t>Nathan Smith</t>
        </is>
      </c>
      <c r="C7" s="12" t="inlineStr">
        <is>
          <t>@dreimers</t>
        </is>
      </c>
      <c r="D7" s="12" t="inlineStr">
        <is>
          <t>Portal por URL</t>
        </is>
      </c>
      <c r="E7" s="17" t="n">
        <v>46237.46380787037</v>
      </c>
      <c r="F7" s="17" t="n">
        <v>46245.38638888889</v>
      </c>
      <c r="G7" s="20">
        <f>(F7-E7)</f>
        <v/>
      </c>
    </row>
    <row r="9">
      <c r="F9" s="21" t="inlineStr">
        <is>
          <t>Promedio atípicos:</t>
        </is>
      </c>
      <c r="G9" s="22">
        <f>ROUND(AVERAGE(G5:G7),1)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2026-09-02T21:33:06Z</dcterms:created>
  <dcterms:modified xsi:type="dcterms:W3CDTF">2026-09-02T21:33:06Z</dcterms:modified>
</cp:coreProperties>
</file>