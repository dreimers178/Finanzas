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orio Tasks Report" sheetId="1" state="visible" r:id="rId1"/>
    <sheet name="Data (calc)" sheetId="2" state="visible" r:id="rId2"/>
    <sheet name="Open &amp; In Progress" sheetId="3" state="visible" r:id="rId3"/>
    <sheet name="Slow Tasks Aug - 26 (&gt;7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"/>
    <numFmt numFmtId="166" formatCode="0.0"/>
    <numFmt numFmtId="167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6"/>
    </font>
    <font>
      <name val="Arial"/>
      <b val="1"/>
      <color rgb="001F3864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Avg. resolution days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'Tesorio Tasks Report'!H5</f>
            </strRef>
          </tx>
          <spPr>
            <a:ln>
              <a:prstDash val="solid"/>
            </a:ln>
          </spPr>
          <cat>
            <numRef>
              <f>'Tesorio Tasks Report'!$D$6:$D$8</f>
            </numRef>
          </cat>
          <val>
            <numRef>
              <f>'Tesorio Tasks Report'!$H$6:$H$8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2" customWidth="1" min="9" max="9"/>
  </cols>
  <sheetData>
    <row r="1">
      <c r="A1" s="1" t="inlineStr">
        <is>
          <t>TESORIO TASKS REPORT — Aug - 26</t>
        </is>
      </c>
    </row>
    <row r="4">
      <c r="A4" s="2" t="inlineStr">
        <is>
          <t xml:space="preserve">  Aug - 26 SUMMARY</t>
        </is>
      </c>
      <c r="D4" s="2" t="inlineStr">
        <is>
          <t xml:space="preserve">  RESOLUTION TIME BY MONTH (last 3 months)</t>
        </is>
      </c>
    </row>
    <row r="5">
      <c r="A5" s="3" t="inlineStr">
        <is>
          <t>Created in month</t>
        </is>
      </c>
      <c r="B5" s="4">
        <f>COUNTIF('Data (calc)'!$I$2:$I$169,"2026-08")</f>
        <v/>
      </c>
      <c r="D5" s="5" t="inlineStr">
        <is>
          <t>Month</t>
        </is>
      </c>
      <c r="E5" s="5" t="inlineStr">
        <is>
          <t># Created</t>
        </is>
      </c>
      <c r="F5" s="5" t="inlineStr">
        <is>
          <t>Completed</t>
        </is>
      </c>
      <c r="G5" s="5" t="inlineStr">
        <is>
          <t>Avg. hours</t>
        </is>
      </c>
      <c r="H5" s="5" t="inlineStr">
        <is>
          <t>Avg. days</t>
        </is>
      </c>
      <c r="I5" s="5" t="inlineStr">
        <is>
          <t>% same day</t>
        </is>
      </c>
    </row>
    <row r="6">
      <c r="A6" s="3" t="inlineStr">
        <is>
          <t>Completed (DONE)</t>
        </is>
      </c>
      <c r="B6" s="4">
        <f>COUNTIFS('Data (calc)'!$I$2:$I$169,"2026-08",'Data (calc)'!$G$2:$G$169,"&gt;=0")</f>
        <v/>
      </c>
      <c r="D6" s="6" t="inlineStr">
        <is>
          <t>Jun - 26</t>
        </is>
      </c>
      <c r="E6" s="7">
        <f>COUNTIF('Data (calc)'!$I$2:$I$169,"2026-06")</f>
        <v/>
      </c>
      <c r="F6" s="7">
        <f>COUNTIFS('Data (calc)'!$I$2:$I$169,"2026-06",'Data (calc)'!$G$2:$G$169,"&gt;=0")</f>
        <v/>
      </c>
      <c r="G6" s="8">
        <f>IFERROR(ROUND(AVERAGEIF('Data (calc)'!$I$2:$I$169,"2026-06",'Data (calc)'!$G$2:$G$169),1),0)</f>
        <v/>
      </c>
      <c r="H6" s="8">
        <f>IFERROR(ROUND(AVERAGEIF('Data (calc)'!$I$2:$I$169,"2026-06",'Data (calc)'!$H$2:$H$169),1),0)</f>
        <v/>
      </c>
      <c r="I6" s="9">
        <f>IFERROR(COUNTIFS('Data (calc)'!$I$2:$I$169,"2026-06",'Data (calc)'!$G$2:$G$169,"&lt;24")/COUNTIFS('Data (calc)'!$I$2:$I$169,"2026-06",'Data (calc)'!$G$2:$G$169,"&gt;=0"),0)</f>
        <v/>
      </c>
    </row>
    <row r="7">
      <c r="A7" s="3" t="inlineStr">
        <is>
          <t>Avg. resolution (days)</t>
        </is>
      </c>
      <c r="B7" s="10">
        <f>IFERROR(ROUND(AVERAGEIF('Data (calc)'!$I$2:$I$169,"2026-08",'Data (calc)'!$H$2:$H$169),1),0)</f>
        <v/>
      </c>
      <c r="D7" s="6" t="inlineStr">
        <is>
          <t>Jul - 26</t>
        </is>
      </c>
      <c r="E7" s="7">
        <f>COUNTIF('Data (calc)'!$I$2:$I$169,"2026-07")</f>
        <v/>
      </c>
      <c r="F7" s="7">
        <f>COUNTIFS('Data (calc)'!$I$2:$I$169,"2026-07",'Data (calc)'!$G$2:$G$169,"&gt;=0")</f>
        <v/>
      </c>
      <c r="G7" s="8">
        <f>IFERROR(ROUND(AVERAGEIF('Data (calc)'!$I$2:$I$169,"2026-07",'Data (calc)'!$G$2:$G$169),1),0)</f>
        <v/>
      </c>
      <c r="H7" s="8">
        <f>IFERROR(ROUND(AVERAGEIF('Data (calc)'!$I$2:$I$169,"2026-07",'Data (calc)'!$H$2:$H$169),1),0)</f>
        <v/>
      </c>
      <c r="I7" s="9">
        <f>IFERROR(COUNTIFS('Data (calc)'!$I$2:$I$169,"2026-07",'Data (calc)'!$G$2:$G$169,"&lt;24")/COUNTIFS('Data (calc)'!$I$2:$I$169,"2026-07",'Data (calc)'!$G$2:$G$169,"&gt;=0"),0)</f>
        <v/>
      </c>
    </row>
    <row r="8">
      <c r="A8" s="3" t="inlineStr">
        <is>
          <t>% same day</t>
        </is>
      </c>
      <c r="B8" s="11">
        <f>IFERROR(COUNTIFS('Data (calc)'!$I$2:$I$169,"2026-08",'Data (calc)'!$G$2:$G$169,"&lt;24")/COUNTIFS('Data (calc)'!$I$2:$I$169,"2026-08",'Data (calc)'!$G$2:$G$169,"&gt;=0"),0)</f>
        <v/>
      </c>
      <c r="D8" s="6" t="inlineStr">
        <is>
          <t>Aug - 26</t>
        </is>
      </c>
      <c r="E8" s="7">
        <f>COUNTIF('Data (calc)'!$I$2:$I$169,"2026-08")</f>
        <v/>
      </c>
      <c r="F8" s="7">
        <f>COUNTIFS('Data (calc)'!$I$2:$I$169,"2026-08",'Data (calc)'!$G$2:$G$169,"&gt;=0")</f>
        <v/>
      </c>
      <c r="G8" s="8">
        <f>IFERROR(ROUND(AVERAGEIF('Data (calc)'!$I$2:$I$169,"2026-08",'Data (calc)'!$G$2:$G$169),1),0)</f>
        <v/>
      </c>
      <c r="H8" s="8">
        <f>IFERROR(ROUND(AVERAGEIF('Data (calc)'!$I$2:$I$169,"2026-08",'Data (calc)'!$H$2:$H$169),1),0)</f>
        <v/>
      </c>
      <c r="I8" s="9">
        <f>IFERROR(COUNTIFS('Data (calc)'!$I$2:$I$169,"2026-08",'Data (calc)'!$G$2:$G$169,"&lt;24")/COUNTIFS('Data (calc)'!$I$2:$I$169,"2026-08",'Data (calc)'!$G$2:$G$169,"&gt;=0"),0)</f>
        <v/>
      </c>
    </row>
    <row r="9">
      <c r="A9" s="3" t="inlineStr">
        <is>
          <t>Pending (TO DO) today</t>
        </is>
      </c>
      <c r="B9" s="4">
        <f>COUNTIF('Data (calc)'!$B$2:$B$169,"TO DO")</f>
        <v/>
      </c>
      <c r="D9" s="6" t="inlineStr">
        <is>
          <t>TOTAL</t>
        </is>
      </c>
      <c r="E9" s="12">
        <f>SUM(E6:E8)</f>
        <v/>
      </c>
      <c r="F9" s="12">
        <f>SUM(F6:F8)</f>
        <v/>
      </c>
      <c r="G9" s="13">
        <f>IFERROR(ROUND(AVERAGEIFS('Data (calc)'!$G$2:$G$169,'Data (calc)'!$I$2:$I$169,"&gt;=2026-06"),1),0)</f>
        <v/>
      </c>
      <c r="H9" s="13">
        <f>IFERROR(ROUND(AVERAGEIFS('Data (calc)'!$H$2:$H$169,'Data (calc)'!$I$2:$I$169,"&gt;=2026-06"),1),0)</f>
        <v/>
      </c>
      <c r="I9" s="14">
        <f>IFERROR(COUNTIFS('Data (calc)'!$I$2:$I$169,"&gt;=2026-06",'Data (calc)'!$G$2:$G$169,"&lt;24")/COUNTIFS('Data (calc)'!$I$2:$I$169,"&gt;=2026-06",'Data (calc)'!$G$2:$G$169,"&gt;=0"),0)</f>
        <v/>
      </c>
    </row>
    <row r="10">
      <c r="A10" s="3" t="inlineStr">
        <is>
          <t>In progress (WORKING) today</t>
        </is>
      </c>
      <c r="B10" s="4">
        <f>COUNTIF('Data (calc)'!$B$2:$B$169,"WORKING")</f>
        <v/>
      </c>
    </row>
    <row r="15">
      <c r="A15" s="2" t="inlineStr">
        <is>
          <t xml:space="preserve">  RESOLUTION TIME DISTRIBUTION — Aug - 26</t>
        </is>
      </c>
      <c r="D15" s="2" t="inlineStr">
        <is>
          <t xml:space="preserve">  RESOLUTION TIME BY PRIORITY — Aug - 26</t>
        </is>
      </c>
    </row>
    <row r="16">
      <c r="A16" s="5" t="inlineStr">
        <is>
          <t>Range</t>
        </is>
      </c>
      <c r="B16" s="5" t="inlineStr">
        <is>
          <t># Tasks</t>
        </is>
      </c>
      <c r="C16" s="5" t="inlineStr">
        <is>
          <t>% of total</t>
        </is>
      </c>
      <c r="D16" s="5" t="inlineStr">
        <is>
          <t>Priority</t>
        </is>
      </c>
      <c r="E16" s="5" t="inlineStr">
        <is>
          <t># Tasks</t>
        </is>
      </c>
      <c r="F16" s="5" t="inlineStr">
        <is>
          <t>% of total</t>
        </is>
      </c>
      <c r="G16" s="5" t="inlineStr">
        <is>
          <t>Avg. days</t>
        </is>
      </c>
      <c r="H16" s="5" t="inlineStr">
        <is>
          <t>% same day</t>
        </is>
      </c>
    </row>
    <row r="17">
      <c r="A17" s="3" t="inlineStr">
        <is>
          <t>Same day (&lt; 24 h)</t>
        </is>
      </c>
      <c r="B17" s="7">
        <f>COUNTIFS('Data (calc)'!$I$2:$I$169,"2026-08",'Data (calc)'!$G$2:$G$169,"&lt;24")</f>
        <v/>
      </c>
      <c r="C17" s="9">
        <f>IFERROR(B17/COUNTIFS('Data (calc)'!$I$2:$I$169,"2026-08",'Data (calc)'!$G$2:$G$169,"&gt;=0"),0)</f>
        <v/>
      </c>
      <c r="D17" s="3" t="inlineStr">
        <is>
          <t>URGENT</t>
        </is>
      </c>
      <c r="E17" s="7">
        <f>COUNTIFS('Data (calc)'!$C$2:$C$169,"URGENT",'Data (calc)'!$I$2:$I$169,"2026-08",'Data (calc)'!$G$2:$G$169,"&gt;=0")</f>
        <v/>
      </c>
      <c r="F17" s="9">
        <f>IFERROR(COUNTIFS('Data (calc)'!$C$2:$C$169,"URGENT",'Data (calc)'!$I$2:$I$169,"2026-08",'Data (calc)'!$G$2:$G$169,"&gt;=0")/COUNTIFS('Data (calc)'!$I$2:$I$169,"2026-08",'Data (calc)'!$G$2:$G$169,"&gt;=0"),0)</f>
        <v/>
      </c>
      <c r="G17" s="8">
        <f>IFERROR(ROUND(AVERAGEIFS('Data (calc)'!$H$2:$H$169,'Data (calc)'!$C$2:$C$169,"URGENT",'Data (calc)'!$I$2:$I$169,"2026-08"),1),0)</f>
        <v/>
      </c>
      <c r="H17" s="9">
        <f>IFERROR(COUNTIFS('Data (calc)'!$C$2:$C$169,"URGENT",'Data (calc)'!$I$2:$I$169,"2026-08",'Data (calc)'!$G$2:$G$169,"&lt;24")/COUNTIFS('Data (calc)'!$C$2:$C$169,"URGENT",'Data (calc)'!$I$2:$I$169,"2026-08",'Data (calc)'!$G$2:$G$169,"&gt;=0"),0)</f>
        <v/>
      </c>
    </row>
    <row r="18">
      <c r="A18" s="3" t="inlineStr">
        <is>
          <t>1 – 2 days</t>
        </is>
      </c>
      <c r="B18" s="7">
        <f>COUNTIFS('Data (calc)'!$I$2:$I$169,"2026-08",'Data (calc)'!$G$2:$G$169,"&gt;=24",'Data (calc)'!$G$2:$G$169,"&lt;48")</f>
        <v/>
      </c>
      <c r="C18" s="9">
        <f>IFERROR(B18/COUNTIFS('Data (calc)'!$I$2:$I$169,"2026-08",'Data (calc)'!$G$2:$G$169,"&gt;=0"),0)</f>
        <v/>
      </c>
      <c r="D18" s="3" t="inlineStr">
        <is>
          <t>HIGH PRIORITY</t>
        </is>
      </c>
      <c r="E18" s="7">
        <f>COUNTIFS('Data (calc)'!$C$2:$C$169,"HIGH PRIORITY",'Data (calc)'!$I$2:$I$169,"2026-08",'Data (calc)'!$G$2:$G$169,"&gt;=0")</f>
        <v/>
      </c>
      <c r="F18" s="9">
        <f>IFERROR(COUNTIFS('Data (calc)'!$C$2:$C$169,"HIGH PRIORITY",'Data (calc)'!$I$2:$I$169,"2026-08",'Data (calc)'!$G$2:$G$169,"&gt;=0")/COUNTIFS('Data (calc)'!$I$2:$I$169,"2026-08",'Data (calc)'!$G$2:$G$169,"&gt;=0"),0)</f>
        <v/>
      </c>
      <c r="G18" s="8">
        <f>IFERROR(ROUND(AVERAGEIFS('Data (calc)'!$H$2:$H$169,'Data (calc)'!$C$2:$C$169,"HIGH PRIORITY",'Data (calc)'!$I$2:$I$169,"2026-08"),1),0)</f>
        <v/>
      </c>
      <c r="H18" s="9">
        <f>IFERROR(COUNTIFS('Data (calc)'!$C$2:$C$169,"HIGH PRIORITY",'Data (calc)'!$I$2:$I$169,"2026-08",'Data (calc)'!$G$2:$G$169,"&lt;24")/COUNTIFS('Data (calc)'!$C$2:$C$169,"HIGH PRIORITY",'Data (calc)'!$I$2:$I$169,"2026-08",'Data (calc)'!$G$2:$G$169,"&gt;=0"),0)</f>
        <v/>
      </c>
    </row>
    <row r="19">
      <c r="A19" s="3" t="inlineStr">
        <is>
          <t>2 – 4 days</t>
        </is>
      </c>
      <c r="B19" s="7">
        <f>COUNTIFS('Data (calc)'!$I$2:$I$169,"2026-08",'Data (calc)'!$G$2:$G$169,"&gt;=48",'Data (calc)'!$G$2:$G$169,"&lt;96")</f>
        <v/>
      </c>
      <c r="C19" s="9">
        <f>IFERROR(B19/COUNTIFS('Data (calc)'!$I$2:$I$169,"2026-08",'Data (calc)'!$G$2:$G$169,"&gt;=0"),0)</f>
        <v/>
      </c>
      <c r="D19" s="3" t="inlineStr">
        <is>
          <t>NORMAL</t>
        </is>
      </c>
      <c r="E19" s="7">
        <f>COUNTIFS('Data (calc)'!$C$2:$C$169,"NORMAL",'Data (calc)'!$I$2:$I$169,"2026-08",'Data (calc)'!$G$2:$G$169,"&gt;=0")</f>
        <v/>
      </c>
      <c r="F19" s="9">
        <f>IFERROR(COUNTIFS('Data (calc)'!$C$2:$C$169,"NORMAL",'Data (calc)'!$I$2:$I$169,"2026-08",'Data (calc)'!$G$2:$G$169,"&gt;=0")/COUNTIFS('Data (calc)'!$I$2:$I$169,"2026-08",'Data (calc)'!$G$2:$G$169,"&gt;=0"),0)</f>
        <v/>
      </c>
      <c r="G19" s="8">
        <f>IFERROR(ROUND(AVERAGEIFS('Data (calc)'!$H$2:$H$169,'Data (calc)'!$C$2:$C$169,"NORMAL",'Data (calc)'!$I$2:$I$169,"2026-08"),1),0)</f>
        <v/>
      </c>
      <c r="H19" s="9">
        <f>IFERROR(COUNTIFS('Data (calc)'!$C$2:$C$169,"NORMAL",'Data (calc)'!$I$2:$I$169,"2026-08",'Data (calc)'!$G$2:$G$169,"&lt;24")/COUNTIFS('Data (calc)'!$C$2:$C$169,"NORMAL",'Data (calc)'!$I$2:$I$169,"2026-08",'Data (calc)'!$G$2:$G$169,"&gt;=0"),0)</f>
        <v/>
      </c>
    </row>
    <row r="20">
      <c r="A20" s="3" t="inlineStr">
        <is>
          <t>4 – 7 days</t>
        </is>
      </c>
      <c r="B20" s="7">
        <f>COUNTIFS('Data (calc)'!$I$2:$I$169,"2026-08",'Data (calc)'!$G$2:$G$169,"&gt;=96",'Data (calc)'!$G$2:$G$169,"&lt;168")</f>
        <v/>
      </c>
      <c r="C20" s="9">
        <f>IFERROR(B20/COUNTIFS('Data (calc)'!$I$2:$I$169,"2026-08",'Data (calc)'!$G$2:$G$169,"&gt;=0"),0)</f>
        <v/>
      </c>
      <c r="D20" s="6" t="inlineStr">
        <is>
          <t>TOTAL</t>
        </is>
      </c>
      <c r="E20" s="12">
        <f>COUNTIFS('Data (calc)'!$I$2:$I$169,"2026-08",'Data (calc)'!$G$2:$G$169,"&gt;=0")</f>
        <v/>
      </c>
      <c r="F20" s="15" t="inlineStr">
        <is>
          <t>100%</t>
        </is>
      </c>
      <c r="G20" s="13">
        <f>IFERROR(ROUND(AVERAGEIF('Data (calc)'!$I$2:$I$169,"2026-08",'Data (calc)'!$H$2:$H$169),1),0)</f>
        <v/>
      </c>
      <c r="H20" s="14">
        <f>IFERROR(COUNTIFS('Data (calc)'!$I$2:$I$169,"2026-08",'Data (calc)'!$G$2:$G$169,"&lt;24")/COUNTIFS('Data (calc)'!$I$2:$I$169,"2026-08",'Data (calc)'!$G$2:$G$169,"&gt;=0"),0)</f>
        <v/>
      </c>
    </row>
    <row r="21">
      <c r="A21" s="3" t="inlineStr">
        <is>
          <t>More than 7 days</t>
        </is>
      </c>
      <c r="B21" s="7">
        <f>COUNTIFS('Data (calc)'!$I$2:$I$169,"2026-08",'Data (calc)'!$G$2:$G$169,"&gt;=168")</f>
        <v/>
      </c>
      <c r="C21" s="9">
        <f>IFERROR(B21/COUNTIFS('Data (calc)'!$I$2:$I$169,"2026-08",'Data (calc)'!$G$2:$G$169,"&gt;=0"),0)</f>
        <v/>
      </c>
    </row>
    <row r="22">
      <c r="A22" s="6" t="inlineStr">
        <is>
          <t>TOTAL</t>
        </is>
      </c>
      <c r="B22" s="12">
        <f>SUM(B17:B21)</f>
        <v/>
      </c>
      <c r="C22" s="14">
        <f>IFERROR(B22/COUNTIFS('Data (calc)'!$I$2:$I$169,"2026-08",'Data (calc)'!$G$2:$G$169,"&gt;=0"),0)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6" customWidth="1" min="4" max="4"/>
    <col width="14" customWidth="1" min="5" max="5"/>
    <col width="14" customWidth="1" min="6" max="6"/>
    <col width="15" customWidth="1" min="7" max="7"/>
    <col width="15" customWidth="1" min="8" max="8"/>
    <col width="13" customWidth="1" min="9" max="9"/>
    <col width="12" customWidth="1" min="10" max="10"/>
  </cols>
  <sheetData>
    <row r="1">
      <c r="A1" s="5" t="inlineStr">
        <is>
          <t>Invoice Number</t>
        </is>
      </c>
      <c r="B1" s="5" t="inlineStr">
        <is>
          <t>Status</t>
        </is>
      </c>
      <c r="C1" s="5" t="inlineStr">
        <is>
          <t>Priority</t>
        </is>
      </c>
      <c r="D1" s="5" t="inlineStr">
        <is>
          <t>Assigned by</t>
        </is>
      </c>
      <c r="E1" s="5" t="inlineStr">
        <is>
          <t>Created At</t>
        </is>
      </c>
      <c r="F1" s="5" t="inlineStr">
        <is>
          <t>Completed At</t>
        </is>
      </c>
      <c r="G1" s="5" t="inlineStr">
        <is>
          <t>Resolution (hrs)</t>
        </is>
      </c>
      <c r="H1" s="5" t="inlineStr">
        <is>
          <t>Resolution (days)</t>
        </is>
      </c>
      <c r="I1" s="5" t="inlineStr">
        <is>
          <t>Month (created)</t>
        </is>
      </c>
      <c r="J1" s="5" t="inlineStr">
        <is>
          <t>Days open</t>
        </is>
      </c>
    </row>
    <row r="2">
      <c r="A2" s="3" t="inlineStr">
        <is>
          <t>INV00021679</t>
        </is>
      </c>
      <c r="B2" s="3" t="inlineStr">
        <is>
          <t>TO DO</t>
        </is>
      </c>
      <c r="C2" s="3" t="inlineStr">
        <is>
          <t>NORMAL</t>
        </is>
      </c>
      <c r="D2" s="3" t="inlineStr">
        <is>
          <t>Raúl Pérez</t>
        </is>
      </c>
      <c r="E2" s="16" t="n">
        <v>46243.95557626537</v>
      </c>
      <c r="F2" s="17" t="n"/>
      <c r="G2" s="8" t="n"/>
      <c r="H2" s="8" t="n"/>
      <c r="I2" s="17" t="inlineStr">
        <is>
          <t>2026-08</t>
        </is>
      </c>
      <c r="J2" s="7" t="n">
        <v>24</v>
      </c>
    </row>
    <row r="3">
      <c r="A3" s="3" t="inlineStr">
        <is>
          <t>INV00024992</t>
        </is>
      </c>
      <c r="B3" s="3" t="inlineStr">
        <is>
          <t>DONE</t>
        </is>
      </c>
      <c r="C3" s="3" t="inlineStr">
        <is>
          <t>NORMAL</t>
        </is>
      </c>
      <c r="D3" s="3" t="inlineStr">
        <is>
          <t>Fernando Anaya</t>
        </is>
      </c>
      <c r="E3" s="16" t="n">
        <v>46252.64420204765</v>
      </c>
      <c r="F3" s="16" t="n">
        <v>46252.74190956113</v>
      </c>
      <c r="G3" s="8" t="n">
        <v>2.3</v>
      </c>
      <c r="H3" s="8" t="n">
        <v>0.1</v>
      </c>
      <c r="I3" s="17" t="inlineStr">
        <is>
          <t>2026-08</t>
        </is>
      </c>
      <c r="J3" s="17" t="n"/>
    </row>
    <row r="4">
      <c r="A4" s="3" t="inlineStr">
        <is>
          <t>INV00021985</t>
        </is>
      </c>
      <c r="B4" s="3" t="inlineStr">
        <is>
          <t>DONE</t>
        </is>
      </c>
      <c r="C4" s="3" t="inlineStr">
        <is>
          <t>NORMAL</t>
        </is>
      </c>
      <c r="D4" s="3" t="inlineStr">
        <is>
          <t>Erika Sorrell</t>
        </is>
      </c>
      <c r="E4" s="16" t="n">
        <v>46247.61774921221</v>
      </c>
      <c r="F4" s="16" t="n">
        <v>46247.85216684321</v>
      </c>
      <c r="G4" s="8" t="n">
        <v>5.6</v>
      </c>
      <c r="H4" s="8" t="n">
        <v>0.2</v>
      </c>
      <c r="I4" s="17" t="inlineStr">
        <is>
          <t>2026-08</t>
        </is>
      </c>
      <c r="J4" s="17" t="n"/>
    </row>
    <row r="5">
      <c r="A5" s="3" t="inlineStr">
        <is>
          <t>INV00021750</t>
        </is>
      </c>
      <c r="B5" s="3" t="inlineStr">
        <is>
          <t>DONE</t>
        </is>
      </c>
      <c r="C5" s="3" t="inlineStr">
        <is>
          <t>NORMAL</t>
        </is>
      </c>
      <c r="D5" s="3" t="inlineStr">
        <is>
          <t>Fernanda Sánchez</t>
        </is>
      </c>
      <c r="E5" s="16" t="n">
        <v>46230.80861513882</v>
      </c>
      <c r="F5" s="16" t="n">
        <v>46230.86298702806</v>
      </c>
      <c r="G5" s="8" t="n">
        <v>1.3</v>
      </c>
      <c r="H5" s="8" t="n">
        <v>0.1</v>
      </c>
      <c r="I5" s="17" t="inlineStr">
        <is>
          <t>2026-07</t>
        </is>
      </c>
      <c r="J5" s="17" t="n"/>
    </row>
    <row r="6">
      <c r="A6" s="3" t="inlineStr">
        <is>
          <t>468465</t>
        </is>
      </c>
      <c r="B6" s="3" t="inlineStr">
        <is>
          <t>DONE</t>
        </is>
      </c>
      <c r="C6" s="3" t="inlineStr">
        <is>
          <t>NORMAL</t>
        </is>
      </c>
      <c r="D6" s="3" t="inlineStr">
        <is>
          <t>Erika Sorrell</t>
        </is>
      </c>
      <c r="E6" s="16" t="n">
        <v>46225.85658291568</v>
      </c>
      <c r="F6" s="16" t="n">
        <v>46227.86384549101</v>
      </c>
      <c r="G6" s="8" t="n">
        <v>48.2</v>
      </c>
      <c r="H6" s="8" t="n">
        <v>2</v>
      </c>
      <c r="I6" s="17" t="inlineStr">
        <is>
          <t>2026-07</t>
        </is>
      </c>
      <c r="J6" s="17" t="n"/>
    </row>
    <row r="7">
      <c r="A7" s="3" t="inlineStr">
        <is>
          <t>467985</t>
        </is>
      </c>
      <c r="B7" s="3" t="inlineStr">
        <is>
          <t>DONE</t>
        </is>
      </c>
      <c r="C7" s="3" t="inlineStr">
        <is>
          <t>NORMAL</t>
        </is>
      </c>
      <c r="D7" s="3" t="inlineStr">
        <is>
          <t>Erika Sorrell</t>
        </is>
      </c>
      <c r="E7" s="16" t="n">
        <v>46227.80680168488</v>
      </c>
      <c r="F7" s="16" t="n">
        <v>46227.84082767834</v>
      </c>
      <c r="G7" s="8" t="n">
        <v>0.8</v>
      </c>
      <c r="H7" s="8" t="n">
        <v>0</v>
      </c>
      <c r="I7" s="17" t="inlineStr">
        <is>
          <t>2026-07</t>
        </is>
      </c>
      <c r="J7" s="17" t="n"/>
    </row>
    <row r="8">
      <c r="A8" s="3" t="inlineStr">
        <is>
          <t>INV00022406</t>
        </is>
      </c>
      <c r="B8" s="3" t="inlineStr">
        <is>
          <t>DONE</t>
        </is>
      </c>
      <c r="C8" s="3" t="inlineStr">
        <is>
          <t>NORMAL</t>
        </is>
      </c>
      <c r="D8" s="3" t="inlineStr">
        <is>
          <t>Erika Sorrell</t>
        </is>
      </c>
      <c r="E8" s="16" t="n">
        <v>46226.84471234109</v>
      </c>
      <c r="F8" s="16" t="n">
        <v>46227.8287338077</v>
      </c>
      <c r="G8" s="8" t="n">
        <v>23.6</v>
      </c>
      <c r="H8" s="8" t="n">
        <v>1</v>
      </c>
      <c r="I8" s="17" t="inlineStr">
        <is>
          <t>2026-07</t>
        </is>
      </c>
      <c r="J8" s="17" t="n"/>
    </row>
    <row r="9">
      <c r="A9" s="3" t="inlineStr">
        <is>
          <t>465369</t>
        </is>
      </c>
      <c r="B9" s="3" t="inlineStr">
        <is>
          <t>DONE</t>
        </is>
      </c>
      <c r="C9" s="3" t="inlineStr">
        <is>
          <t>NORMAL</t>
        </is>
      </c>
      <c r="D9" s="3" t="inlineStr">
        <is>
          <t>Erika Sorrell</t>
        </is>
      </c>
      <c r="E9" s="16" t="n">
        <v>46224.86540054976</v>
      </c>
      <c r="F9" s="16" t="n">
        <v>46225.77747166861</v>
      </c>
      <c r="G9" s="8" t="n">
        <v>21.9</v>
      </c>
      <c r="H9" s="8" t="n">
        <v>0.9</v>
      </c>
      <c r="I9" s="17" t="inlineStr">
        <is>
          <t>2026-07</t>
        </is>
      </c>
      <c r="J9" s="17" t="n"/>
    </row>
    <row r="10">
      <c r="A10" s="3" t="inlineStr">
        <is>
          <t>INV00022414</t>
        </is>
      </c>
      <c r="B10" s="3" t="inlineStr">
        <is>
          <t>DONE</t>
        </is>
      </c>
      <c r="C10" s="3" t="inlineStr">
        <is>
          <t>NORMAL</t>
        </is>
      </c>
      <c r="D10" s="3" t="inlineStr">
        <is>
          <t>Fernanda Sánchez</t>
        </is>
      </c>
      <c r="E10" s="16" t="n">
        <v>46225.70443823103</v>
      </c>
      <c r="F10" s="16" t="n">
        <v>46225.72904607857</v>
      </c>
      <c r="G10" s="8" t="n">
        <v>0.6</v>
      </c>
      <c r="H10" s="8" t="n">
        <v>0</v>
      </c>
      <c r="I10" s="17" t="inlineStr">
        <is>
          <t>2026-07</t>
        </is>
      </c>
      <c r="J10" s="17" t="n"/>
    </row>
    <row r="11">
      <c r="A11" s="3" t="inlineStr">
        <is>
          <t>470131</t>
        </is>
      </c>
      <c r="B11" s="3" t="inlineStr">
        <is>
          <t>DONE</t>
        </is>
      </c>
      <c r="C11" s="3" t="inlineStr">
        <is>
          <t>NORMAL</t>
        </is>
      </c>
      <c r="D11" s="3" t="inlineStr">
        <is>
          <t>Erika Sorrell</t>
        </is>
      </c>
      <c r="E11" s="16" t="n">
        <v>46224.854075592</v>
      </c>
      <c r="F11" s="16" t="n">
        <v>46225.71959912901</v>
      </c>
      <c r="G11" s="8" t="n">
        <v>20.8</v>
      </c>
      <c r="H11" s="8" t="n">
        <v>0.9</v>
      </c>
      <c r="I11" s="17" t="inlineStr">
        <is>
          <t>2026-07</t>
        </is>
      </c>
      <c r="J11" s="17" t="n"/>
    </row>
    <row r="12">
      <c r="A12" s="3" t="inlineStr">
        <is>
          <t>INV00020505</t>
        </is>
      </c>
      <c r="B12" s="3" t="inlineStr">
        <is>
          <t>DONE</t>
        </is>
      </c>
      <c r="C12" s="3" t="inlineStr">
        <is>
          <t>NORMAL</t>
        </is>
      </c>
      <c r="D12" s="3" t="inlineStr">
        <is>
          <t>Erika Sorrell</t>
        </is>
      </c>
      <c r="E12" s="16" t="n">
        <v>46219.85049408039</v>
      </c>
      <c r="F12" s="16" t="n">
        <v>46220.84251013889</v>
      </c>
      <c r="G12" s="8" t="n">
        <v>23.8</v>
      </c>
      <c r="H12" s="8" t="n">
        <v>1</v>
      </c>
      <c r="I12" s="17" t="inlineStr">
        <is>
          <t>2026-07</t>
        </is>
      </c>
      <c r="J12" s="17" t="n"/>
    </row>
    <row r="13">
      <c r="A13" s="3" t="inlineStr">
        <is>
          <t>INV00022115</t>
        </is>
      </c>
      <c r="B13" s="3" t="inlineStr">
        <is>
          <t>DONE</t>
        </is>
      </c>
      <c r="C13" s="3" t="inlineStr">
        <is>
          <t>NORMAL</t>
        </is>
      </c>
      <c r="D13" s="3" t="inlineStr">
        <is>
          <t>Erika Sorrell</t>
        </is>
      </c>
      <c r="E13" s="16" t="n">
        <v>46218.87331678937</v>
      </c>
      <c r="F13" s="16" t="n">
        <v>46219.76078886561</v>
      </c>
      <c r="G13" s="8" t="n">
        <v>21.3</v>
      </c>
      <c r="H13" s="8" t="n">
        <v>0.9</v>
      </c>
      <c r="I13" s="17" t="inlineStr">
        <is>
          <t>2026-07</t>
        </is>
      </c>
      <c r="J13" s="17" t="n"/>
    </row>
    <row r="14">
      <c r="A14" s="3" t="inlineStr">
        <is>
          <t>468465</t>
        </is>
      </c>
      <c r="B14" s="3" t="inlineStr">
        <is>
          <t>DONE</t>
        </is>
      </c>
      <c r="C14" s="3" t="inlineStr">
        <is>
          <t>NORMAL</t>
        </is>
      </c>
      <c r="D14" s="3" t="inlineStr">
        <is>
          <t>Erika Sorrell</t>
        </is>
      </c>
      <c r="E14" s="16" t="n">
        <v>46216.55653692313</v>
      </c>
      <c r="F14" s="16" t="n">
        <v>46216.81155201773</v>
      </c>
      <c r="G14" s="8" t="n">
        <v>6.1</v>
      </c>
      <c r="H14" s="8" t="n">
        <v>0.3</v>
      </c>
      <c r="I14" s="17" t="inlineStr">
        <is>
          <t>2026-07</t>
        </is>
      </c>
      <c r="J14" s="17" t="n"/>
    </row>
    <row r="15">
      <c r="A15" s="3" t="inlineStr">
        <is>
          <t>INV00020003</t>
        </is>
      </c>
      <c r="B15" s="3" t="inlineStr">
        <is>
          <t>DONE</t>
        </is>
      </c>
      <c r="C15" s="3" t="inlineStr">
        <is>
          <t>NORMAL</t>
        </is>
      </c>
      <c r="D15" s="3" t="inlineStr">
        <is>
          <t>Eduardo Paredes</t>
        </is>
      </c>
      <c r="E15" s="16" t="n">
        <v>46209.79612407782</v>
      </c>
      <c r="F15" s="16" t="n">
        <v>46209.8674185761</v>
      </c>
      <c r="G15" s="8" t="n">
        <v>1.7</v>
      </c>
      <c r="H15" s="8" t="n">
        <v>0.1</v>
      </c>
      <c r="I15" s="17" t="inlineStr">
        <is>
          <t>2026-07</t>
        </is>
      </c>
      <c r="J15" s="17" t="n"/>
    </row>
    <row r="16">
      <c r="A16" s="3" t="inlineStr">
        <is>
          <t>463976</t>
        </is>
      </c>
      <c r="B16" s="3" t="inlineStr">
        <is>
          <t>DONE</t>
        </is>
      </c>
      <c r="C16" s="3" t="inlineStr">
        <is>
          <t>NORMAL</t>
        </is>
      </c>
      <c r="D16" s="3" t="inlineStr">
        <is>
          <t>Raúl Pérez</t>
        </is>
      </c>
      <c r="E16" s="16" t="n">
        <v>46202.01506535925</v>
      </c>
      <c r="F16" s="16" t="n">
        <v>46202.83240231552</v>
      </c>
      <c r="G16" s="8" t="n">
        <v>19.6</v>
      </c>
      <c r="H16" s="8" t="n">
        <v>0.8</v>
      </c>
      <c r="I16" s="17" t="inlineStr">
        <is>
          <t>2026-06</t>
        </is>
      </c>
      <c r="J16" s="17" t="n"/>
    </row>
    <row r="17">
      <c r="A17" s="3" t="inlineStr">
        <is>
          <t>INV00020373</t>
        </is>
      </c>
      <c r="B17" s="3" t="inlineStr">
        <is>
          <t>DONE</t>
        </is>
      </c>
      <c r="C17" s="3" t="inlineStr">
        <is>
          <t>NORMAL</t>
        </is>
      </c>
      <c r="D17" s="3" t="inlineStr">
        <is>
          <t>Raúl Pérez</t>
        </is>
      </c>
      <c r="E17" s="16" t="n">
        <v>46197.7607825386</v>
      </c>
      <c r="F17" s="16" t="n">
        <v>46198.85979303689</v>
      </c>
      <c r="G17" s="8" t="n">
        <v>26.4</v>
      </c>
      <c r="H17" s="8" t="n">
        <v>1.1</v>
      </c>
      <c r="I17" s="17" t="inlineStr">
        <is>
          <t>2026-06</t>
        </is>
      </c>
      <c r="J17" s="17" t="n"/>
    </row>
    <row r="18">
      <c r="A18" s="3" t="inlineStr">
        <is>
          <t>469706</t>
        </is>
      </c>
      <c r="B18" s="3" t="inlineStr">
        <is>
          <t>DONE</t>
        </is>
      </c>
      <c r="C18" s="3" t="inlineStr">
        <is>
          <t>HIGH PRIORITY</t>
        </is>
      </c>
      <c r="D18" s="3" t="inlineStr">
        <is>
          <t>Asito Chucuan ✨</t>
        </is>
      </c>
      <c r="E18" s="16" t="n">
        <v>46182.73267876614</v>
      </c>
      <c r="F18" s="16" t="n">
        <v>46183.82730529763</v>
      </c>
      <c r="G18" s="8" t="n">
        <v>26.3</v>
      </c>
      <c r="H18" s="8" t="n">
        <v>1.1</v>
      </c>
      <c r="I18" s="17" t="inlineStr">
        <is>
          <t>2026-06</t>
        </is>
      </c>
      <c r="J18" s="17" t="n"/>
    </row>
    <row r="19">
      <c r="A19" s="3" t="inlineStr">
        <is>
          <t>INV00024918</t>
        </is>
      </c>
      <c r="B19" s="3" t="inlineStr">
        <is>
          <t>TO DO</t>
        </is>
      </c>
      <c r="C19" s="3" t="inlineStr">
        <is>
          <t>NORMAL</t>
        </is>
      </c>
      <c r="D19" s="3" t="inlineStr">
        <is>
          <t>Erika Sorrell</t>
        </is>
      </c>
      <c r="E19" s="16" t="n">
        <v>46267.52025060176</v>
      </c>
      <c r="F19" s="17" t="n"/>
      <c r="G19" s="8" t="n"/>
      <c r="H19" s="8" t="n"/>
      <c r="I19" s="17" t="inlineStr">
        <is>
          <t>2026-09</t>
        </is>
      </c>
      <c r="J19" s="7" t="n">
        <v>0</v>
      </c>
    </row>
    <row r="20">
      <c r="A20" s="3" t="inlineStr">
        <is>
          <t>INV00026378</t>
        </is>
      </c>
      <c r="B20" s="3" t="inlineStr">
        <is>
          <t>TO DO</t>
        </is>
      </c>
      <c r="C20" s="3" t="inlineStr">
        <is>
          <t>NORMAL</t>
        </is>
      </c>
      <c r="D20" s="3" t="inlineStr">
        <is>
          <t>Julieta Partido</t>
        </is>
      </c>
      <c r="E20" s="16" t="n">
        <v>46267.76278976115</v>
      </c>
      <c r="F20" s="17" t="n"/>
      <c r="G20" s="8" t="n"/>
      <c r="H20" s="8" t="n"/>
      <c r="I20" s="17" t="inlineStr">
        <is>
          <t>2026-09</t>
        </is>
      </c>
      <c r="J20" s="7" t="n">
        <v>0</v>
      </c>
    </row>
    <row r="21">
      <c r="A21" s="3" t="inlineStr"/>
      <c r="B21" s="3" t="inlineStr">
        <is>
          <t>TO DO</t>
        </is>
      </c>
      <c r="C21" s="3" t="inlineStr">
        <is>
          <t>URGENT</t>
        </is>
      </c>
      <c r="D21" s="3" t="inlineStr">
        <is>
          <t>Ana Paula De la Vega</t>
        </is>
      </c>
      <c r="E21" s="16" t="n">
        <v>46266.67811394995</v>
      </c>
      <c r="F21" s="17" t="n"/>
      <c r="G21" s="8" t="n"/>
      <c r="H21" s="8" t="n"/>
      <c r="I21" s="17" t="inlineStr">
        <is>
          <t>2026-09</t>
        </is>
      </c>
      <c r="J21" s="7" t="n">
        <v>1</v>
      </c>
    </row>
    <row r="22">
      <c r="A22" s="3" t="inlineStr">
        <is>
          <t>INV00022230</t>
        </is>
      </c>
      <c r="B22" s="3" t="inlineStr">
        <is>
          <t>TO DO</t>
        </is>
      </c>
      <c r="C22" s="3" t="inlineStr">
        <is>
          <t>URGENT</t>
        </is>
      </c>
      <c r="D22" s="3" t="inlineStr">
        <is>
          <t>Ana Paula De la Vega</t>
        </is>
      </c>
      <c r="E22" s="16" t="n">
        <v>46266.67988896417</v>
      </c>
      <c r="F22" s="17" t="n"/>
      <c r="G22" s="8" t="n"/>
      <c r="H22" s="8" t="n"/>
      <c r="I22" s="17" t="inlineStr">
        <is>
          <t>2026-09</t>
        </is>
      </c>
      <c r="J22" s="7" t="n">
        <v>1</v>
      </c>
    </row>
    <row r="23">
      <c r="A23" s="3" t="inlineStr">
        <is>
          <t>INV00027359</t>
        </is>
      </c>
      <c r="B23" s="3" t="inlineStr">
        <is>
          <t>TO DO</t>
        </is>
      </c>
      <c r="C23" s="3" t="inlineStr">
        <is>
          <t>URGENT</t>
        </is>
      </c>
      <c r="D23" s="3" t="inlineStr">
        <is>
          <t>Ana Paula De la Vega</t>
        </is>
      </c>
      <c r="E23" s="16" t="n">
        <v>46266.71111309509</v>
      </c>
      <c r="F23" s="17" t="n"/>
      <c r="G23" s="8" t="n"/>
      <c r="H23" s="8" t="n"/>
      <c r="I23" s="17" t="inlineStr">
        <is>
          <t>2026-09</t>
        </is>
      </c>
      <c r="J23" s="7" t="n">
        <v>1</v>
      </c>
    </row>
    <row r="24">
      <c r="A24" s="3" t="inlineStr">
        <is>
          <t>INV00025992</t>
        </is>
      </c>
      <c r="B24" s="3" t="inlineStr">
        <is>
          <t>DONE</t>
        </is>
      </c>
      <c r="C24" s="3" t="inlineStr">
        <is>
          <t>NORMAL</t>
        </is>
      </c>
      <c r="D24" s="3" t="inlineStr">
        <is>
          <t>Yoseline Pineda</t>
        </is>
      </c>
      <c r="E24" s="16" t="n">
        <v>46265.63050078051</v>
      </c>
      <c r="F24" s="16" t="n">
        <v>46266.07670839117</v>
      </c>
      <c r="G24" s="8" t="n">
        <v>10.7</v>
      </c>
      <c r="H24" s="8" t="n">
        <v>0.4</v>
      </c>
      <c r="I24" s="17" t="inlineStr">
        <is>
          <t>2026-08</t>
        </is>
      </c>
      <c r="J24" s="17" t="n"/>
    </row>
    <row r="25">
      <c r="A25" s="3" t="inlineStr">
        <is>
          <t>470131</t>
        </is>
      </c>
      <c r="B25" s="3" t="inlineStr">
        <is>
          <t>DONE</t>
        </is>
      </c>
      <c r="C25" s="3" t="inlineStr">
        <is>
          <t>NORMAL</t>
        </is>
      </c>
      <c r="D25" s="3" t="inlineStr">
        <is>
          <t>Erika Sorrell</t>
        </is>
      </c>
      <c r="E25" s="16" t="n">
        <v>46261.83113324085</v>
      </c>
      <c r="F25" s="16" t="n">
        <v>46262.01627226737</v>
      </c>
      <c r="G25" s="8" t="n">
        <v>4.4</v>
      </c>
      <c r="H25" s="8" t="n">
        <v>0.2</v>
      </c>
      <c r="I25" s="17" t="inlineStr">
        <is>
          <t>2026-08</t>
        </is>
      </c>
      <c r="J25" s="17" t="n"/>
    </row>
    <row r="26">
      <c r="A26" s="3" t="inlineStr">
        <is>
          <t>INV00025969</t>
        </is>
      </c>
      <c r="B26" s="3" t="inlineStr">
        <is>
          <t>DONE</t>
        </is>
      </c>
      <c r="C26" s="3" t="inlineStr">
        <is>
          <t>NORMAL</t>
        </is>
      </c>
      <c r="D26" s="3" t="inlineStr">
        <is>
          <t>Alberto Mirón 🦅</t>
        </is>
      </c>
      <c r="E26" s="16" t="n">
        <v>46261.8099548916</v>
      </c>
      <c r="F26" s="16" t="n">
        <v>46262.01471704482</v>
      </c>
      <c r="G26" s="8" t="n">
        <v>4.9</v>
      </c>
      <c r="H26" s="8" t="n">
        <v>0.2</v>
      </c>
      <c r="I26" s="17" t="inlineStr">
        <is>
          <t>2026-08</t>
        </is>
      </c>
      <c r="J26" s="17" t="n"/>
    </row>
    <row r="27">
      <c r="A27" s="3" t="inlineStr">
        <is>
          <t>INV00024074</t>
        </is>
      </c>
      <c r="B27" s="3" t="inlineStr">
        <is>
          <t>DONE</t>
        </is>
      </c>
      <c r="C27" s="3" t="inlineStr">
        <is>
          <t>NORMAL</t>
        </is>
      </c>
      <c r="D27" s="3" t="inlineStr">
        <is>
          <t>Eduardo Paredes</t>
        </is>
      </c>
      <c r="E27" s="16" t="n">
        <v>46261.77115932316</v>
      </c>
      <c r="F27" s="16" t="n">
        <v>46262.0100492772</v>
      </c>
      <c r="G27" s="8" t="n">
        <v>5.7</v>
      </c>
      <c r="H27" s="8" t="n">
        <v>0.2</v>
      </c>
      <c r="I27" s="17" t="inlineStr">
        <is>
          <t>2026-08</t>
        </is>
      </c>
      <c r="J27" s="17" t="n"/>
    </row>
    <row r="28">
      <c r="A28" s="3" t="inlineStr">
        <is>
          <t>INV00022114</t>
        </is>
      </c>
      <c r="B28" s="3" t="inlineStr">
        <is>
          <t>DONE</t>
        </is>
      </c>
      <c r="C28" s="3" t="inlineStr">
        <is>
          <t>NORMAL</t>
        </is>
      </c>
      <c r="D28" s="3" t="inlineStr">
        <is>
          <t>Eduardo Paredes</t>
        </is>
      </c>
      <c r="E28" s="16" t="n">
        <v>46261.73413246546</v>
      </c>
      <c r="F28" s="16" t="n">
        <v>46262.00565827842</v>
      </c>
      <c r="G28" s="8" t="n">
        <v>6.5</v>
      </c>
      <c r="H28" s="8" t="n">
        <v>0.3</v>
      </c>
      <c r="I28" s="17" t="inlineStr">
        <is>
          <t>2026-08</t>
        </is>
      </c>
      <c r="J28" s="17" t="n"/>
    </row>
    <row r="29">
      <c r="A29" s="3" t="inlineStr">
        <is>
          <t>INV00022418</t>
        </is>
      </c>
      <c r="B29" s="3" t="inlineStr">
        <is>
          <t>DONE</t>
        </is>
      </c>
      <c r="C29" s="3" t="inlineStr">
        <is>
          <t>NORMAL</t>
        </is>
      </c>
      <c r="D29" s="3" t="inlineStr">
        <is>
          <t>Eduardo Paredes</t>
        </is>
      </c>
      <c r="E29" s="16" t="n">
        <v>46261.62212108599</v>
      </c>
      <c r="F29" s="16" t="n">
        <v>46261.99501934972</v>
      </c>
      <c r="G29" s="8" t="n">
        <v>8.9</v>
      </c>
      <c r="H29" s="8" t="n">
        <v>0.4</v>
      </c>
      <c r="I29" s="17" t="inlineStr">
        <is>
          <t>2026-08</t>
        </is>
      </c>
      <c r="J29" s="17" t="n"/>
    </row>
    <row r="30">
      <c r="A30" s="3" t="inlineStr">
        <is>
          <t>INV00027122</t>
        </is>
      </c>
      <c r="B30" s="3" t="inlineStr">
        <is>
          <t>DONE</t>
        </is>
      </c>
      <c r="C30" s="3" t="inlineStr">
        <is>
          <t>NORMAL</t>
        </is>
      </c>
      <c r="D30" s="3" t="inlineStr">
        <is>
          <t>Diana Escobar</t>
        </is>
      </c>
      <c r="E30" s="16" t="n">
        <v>46262.9177433248</v>
      </c>
      <c r="F30" s="16" t="n">
        <v>46263.00061096589</v>
      </c>
      <c r="G30" s="8" t="n">
        <v>2</v>
      </c>
      <c r="H30" s="8" t="n">
        <v>0.1</v>
      </c>
      <c r="I30" s="17" t="inlineStr">
        <is>
          <t>2026-08</t>
        </is>
      </c>
      <c r="J30" s="17" t="n"/>
    </row>
    <row r="31">
      <c r="A31" s="3" t="inlineStr">
        <is>
          <t>INV00024287</t>
        </is>
      </c>
      <c r="B31" s="3" t="inlineStr">
        <is>
          <t>DONE</t>
        </is>
      </c>
      <c r="C31" s="3" t="inlineStr">
        <is>
          <t>NORMAL</t>
        </is>
      </c>
      <c r="D31" s="3" t="inlineStr">
        <is>
          <t>Diana Escobar</t>
        </is>
      </c>
      <c r="E31" s="16" t="n">
        <v>46261.64025150608</v>
      </c>
      <c r="F31" s="16" t="n">
        <v>46261.99798772388</v>
      </c>
      <c r="G31" s="8" t="n">
        <v>8.6</v>
      </c>
      <c r="H31" s="8" t="n">
        <v>0.4</v>
      </c>
      <c r="I31" s="17" t="inlineStr">
        <is>
          <t>2026-08</t>
        </is>
      </c>
      <c r="J31" s="17" t="n"/>
    </row>
    <row r="32">
      <c r="A32" s="3" t="inlineStr">
        <is>
          <t>INV00021518</t>
        </is>
      </c>
      <c r="B32" s="3" t="inlineStr">
        <is>
          <t>DONE</t>
        </is>
      </c>
      <c r="C32" s="3" t="inlineStr">
        <is>
          <t>NORMAL</t>
        </is>
      </c>
      <c r="D32" s="3" t="inlineStr">
        <is>
          <t>Roberto Vázquez</t>
        </is>
      </c>
      <c r="E32" s="16" t="n">
        <v>46261.59752669906</v>
      </c>
      <c r="F32" s="16" t="n">
        <v>46261.99061942153</v>
      </c>
      <c r="G32" s="8" t="n">
        <v>9.4</v>
      </c>
      <c r="H32" s="8" t="n">
        <v>0.4</v>
      </c>
      <c r="I32" s="17" t="inlineStr">
        <is>
          <t>2026-08</t>
        </is>
      </c>
      <c r="J32" s="17" t="n"/>
    </row>
    <row r="33">
      <c r="A33" s="3" t="inlineStr">
        <is>
          <t>INV00022167</t>
        </is>
      </c>
      <c r="B33" s="3" t="inlineStr">
        <is>
          <t>DONE</t>
        </is>
      </c>
      <c r="C33" s="3" t="inlineStr">
        <is>
          <t>HIGH PRIORITY</t>
        </is>
      </c>
      <c r="D33" s="3" t="inlineStr">
        <is>
          <t>Yoseline Pineda</t>
        </is>
      </c>
      <c r="E33" s="16" t="n">
        <v>46248.6312213943</v>
      </c>
      <c r="F33" s="16" t="n">
        <v>46262.99442037521</v>
      </c>
      <c r="G33" s="8" t="n">
        <v>344.7</v>
      </c>
      <c r="H33" s="8" t="n">
        <v>14.4</v>
      </c>
      <c r="I33" s="17" t="inlineStr">
        <is>
          <t>2026-08</t>
        </is>
      </c>
      <c r="J33" s="17" t="n"/>
    </row>
    <row r="34">
      <c r="A34" s="3" t="inlineStr">
        <is>
          <t>INV00025516</t>
        </is>
      </c>
      <c r="B34" s="3" t="inlineStr">
        <is>
          <t>DONE</t>
        </is>
      </c>
      <c r="C34" s="3" t="inlineStr">
        <is>
          <t>NORMAL</t>
        </is>
      </c>
      <c r="D34" s="3" t="inlineStr">
        <is>
          <t>Roberto Vázquez</t>
        </is>
      </c>
      <c r="E34" s="16" t="n">
        <v>46260.8310599066</v>
      </c>
      <c r="F34" s="16" t="n">
        <v>46262.04832637557</v>
      </c>
      <c r="G34" s="8" t="n">
        <v>29.2</v>
      </c>
      <c r="H34" s="8" t="n">
        <v>1.2</v>
      </c>
      <c r="I34" s="17" t="inlineStr">
        <is>
          <t>2026-08</t>
        </is>
      </c>
      <c r="J34" s="17" t="n"/>
    </row>
    <row r="35">
      <c r="A35" s="3" t="inlineStr">
        <is>
          <t>INV00023001</t>
        </is>
      </c>
      <c r="B35" s="3" t="inlineStr">
        <is>
          <t>DONE</t>
        </is>
      </c>
      <c r="C35" s="3" t="inlineStr">
        <is>
          <t>HIGH PRIORITY</t>
        </is>
      </c>
      <c r="D35" s="3" t="inlineStr">
        <is>
          <t>Efraín Córdova</t>
        </is>
      </c>
      <c r="E35" s="16" t="n">
        <v>46261.92975688052</v>
      </c>
      <c r="F35" s="16" t="n">
        <v>46262.01827032743</v>
      </c>
      <c r="G35" s="8" t="n">
        <v>2.1</v>
      </c>
      <c r="H35" s="8" t="n">
        <v>0.1</v>
      </c>
      <c r="I35" s="17" t="inlineStr">
        <is>
          <t>2026-08</t>
        </is>
      </c>
      <c r="J35" s="17" t="n"/>
    </row>
    <row r="36">
      <c r="A36" s="3" t="inlineStr">
        <is>
          <t>INV00022554</t>
        </is>
      </c>
      <c r="B36" s="3" t="inlineStr">
        <is>
          <t>DONE</t>
        </is>
      </c>
      <c r="C36" s="3" t="inlineStr">
        <is>
          <t>NORMAL</t>
        </is>
      </c>
      <c r="D36" s="3" t="inlineStr">
        <is>
          <t>Fernanda Sánchez</t>
        </is>
      </c>
      <c r="E36" s="16" t="n">
        <v>46261.73143833904</v>
      </c>
      <c r="F36" s="16" t="n">
        <v>46261.99975053449</v>
      </c>
      <c r="G36" s="8" t="n">
        <v>6.4</v>
      </c>
      <c r="H36" s="8" t="n">
        <v>0.3</v>
      </c>
      <c r="I36" s="17" t="inlineStr">
        <is>
          <t>2026-08</t>
        </is>
      </c>
      <c r="J36" s="17" t="n"/>
    </row>
    <row r="37">
      <c r="A37" s="3" t="inlineStr">
        <is>
          <t>INV00022364</t>
        </is>
      </c>
      <c r="B37" s="3" t="inlineStr">
        <is>
          <t>DONE</t>
        </is>
      </c>
      <c r="C37" s="3" t="inlineStr">
        <is>
          <t>NORMAL</t>
        </is>
      </c>
      <c r="D37" s="3" t="inlineStr">
        <is>
          <t>Erika Sorrell</t>
        </is>
      </c>
      <c r="E37" s="16" t="n">
        <v>46259.60724082495</v>
      </c>
      <c r="F37" s="16" t="n">
        <v>46260.08018909334</v>
      </c>
      <c r="G37" s="8" t="n">
        <v>11.4</v>
      </c>
      <c r="H37" s="8" t="n">
        <v>0.5</v>
      </c>
      <c r="I37" s="17" t="inlineStr">
        <is>
          <t>2026-08</t>
        </is>
      </c>
      <c r="J37" s="17" t="n"/>
    </row>
    <row r="38">
      <c r="A38" s="3" t="inlineStr">
        <is>
          <t>INV00026412</t>
        </is>
      </c>
      <c r="B38" s="3" t="inlineStr">
        <is>
          <t>DONE</t>
        </is>
      </c>
      <c r="C38" s="3" t="inlineStr">
        <is>
          <t>NORMAL</t>
        </is>
      </c>
      <c r="D38" s="3" t="inlineStr"/>
      <c r="E38" s="16" t="n">
        <v>46258.9445395617</v>
      </c>
      <c r="F38" s="16" t="n">
        <v>46258.94661394542</v>
      </c>
      <c r="G38" s="8" t="n">
        <v>0</v>
      </c>
      <c r="H38" s="8" t="n">
        <v>0</v>
      </c>
      <c r="I38" s="17" t="inlineStr">
        <is>
          <t>2026-08</t>
        </is>
      </c>
      <c r="J38" s="17" t="n"/>
    </row>
    <row r="39">
      <c r="A39" s="3" t="inlineStr">
        <is>
          <t>INV00025207</t>
        </is>
      </c>
      <c r="B39" s="3" t="inlineStr">
        <is>
          <t>WORKING</t>
        </is>
      </c>
      <c r="C39" s="3" t="inlineStr">
        <is>
          <t>NORMAL</t>
        </is>
      </c>
      <c r="D39" s="3" t="inlineStr">
        <is>
          <t>Alberto Mirón 🦅</t>
        </is>
      </c>
      <c r="E39" s="16" t="n">
        <v>46254.59888176494</v>
      </c>
      <c r="F39" s="17" t="n"/>
      <c r="G39" s="8" t="n"/>
      <c r="H39" s="8" t="n"/>
      <c r="I39" s="17" t="inlineStr">
        <is>
          <t>2026-08</t>
        </is>
      </c>
      <c r="J39" s="7" t="n">
        <v>13</v>
      </c>
    </row>
    <row r="40">
      <c r="A40" s="3" t="inlineStr">
        <is>
          <t>470261</t>
        </is>
      </c>
      <c r="B40" s="3" t="inlineStr">
        <is>
          <t>DONE</t>
        </is>
      </c>
      <c r="C40" s="3" t="inlineStr">
        <is>
          <t>HIGH PRIORITY</t>
        </is>
      </c>
      <c r="D40" s="3" t="inlineStr">
        <is>
          <t>Marco Guadarrama</t>
        </is>
      </c>
      <c r="E40" s="16" t="n">
        <v>46255.8231754211</v>
      </c>
      <c r="F40" s="16" t="n">
        <v>46258.97525643204</v>
      </c>
      <c r="G40" s="8" t="n">
        <v>75.59999999999999</v>
      </c>
      <c r="H40" s="8" t="n">
        <v>3.2</v>
      </c>
      <c r="I40" s="17" t="inlineStr">
        <is>
          <t>2026-08</t>
        </is>
      </c>
      <c r="J40" s="17" t="n"/>
    </row>
    <row r="41">
      <c r="A41" s="3" t="inlineStr">
        <is>
          <t>INV00023786</t>
        </is>
      </c>
      <c r="B41" s="3" t="inlineStr">
        <is>
          <t>DONE</t>
        </is>
      </c>
      <c r="C41" s="3" t="inlineStr">
        <is>
          <t>NORMAL</t>
        </is>
      </c>
      <c r="D41" s="3" t="inlineStr">
        <is>
          <t>Alberto Mirón 🦅</t>
        </is>
      </c>
      <c r="E41" s="16" t="n">
        <v>46255.84363528797</v>
      </c>
      <c r="F41" s="16" t="n">
        <v>46259.99149806406</v>
      </c>
      <c r="G41" s="8" t="n">
        <v>99.5</v>
      </c>
      <c r="H41" s="8" t="n">
        <v>4.1</v>
      </c>
      <c r="I41" s="17" t="inlineStr">
        <is>
          <t>2026-08</t>
        </is>
      </c>
      <c r="J41" s="17" t="n"/>
    </row>
    <row r="42">
      <c r="A42" s="3" t="inlineStr">
        <is>
          <t>INV00024048</t>
        </is>
      </c>
      <c r="B42" s="3" t="inlineStr">
        <is>
          <t>DONE</t>
        </is>
      </c>
      <c r="C42" s="3" t="inlineStr">
        <is>
          <t>NORMAL</t>
        </is>
      </c>
      <c r="D42" s="3" t="inlineStr"/>
      <c r="E42" s="16" t="n">
        <v>46253.82323528207</v>
      </c>
      <c r="F42" s="16" t="n">
        <v>46254.95016078199</v>
      </c>
      <c r="G42" s="8" t="n">
        <v>27</v>
      </c>
      <c r="H42" s="8" t="n">
        <v>1.1</v>
      </c>
      <c r="I42" s="17" t="inlineStr">
        <is>
          <t>2026-08</t>
        </is>
      </c>
      <c r="J42" s="17" t="n"/>
    </row>
    <row r="43">
      <c r="A43" s="3" t="inlineStr">
        <is>
          <t>INV00025585</t>
        </is>
      </c>
      <c r="B43" s="3" t="inlineStr">
        <is>
          <t>DONE</t>
        </is>
      </c>
      <c r="C43" s="3" t="inlineStr">
        <is>
          <t>NORMAL</t>
        </is>
      </c>
      <c r="D43" s="3" t="inlineStr">
        <is>
          <t>Fernanda Sánchez</t>
        </is>
      </c>
      <c r="E43" s="16" t="n">
        <v>46252.78873059987</v>
      </c>
      <c r="F43" s="16" t="n">
        <v>46254.94785228158</v>
      </c>
      <c r="G43" s="8" t="n">
        <v>51.8</v>
      </c>
      <c r="H43" s="8" t="n">
        <v>2.2</v>
      </c>
      <c r="I43" s="17" t="inlineStr">
        <is>
          <t>2026-08</t>
        </is>
      </c>
      <c r="J43" s="17" t="n"/>
    </row>
    <row r="44">
      <c r="A44" s="3" t="inlineStr">
        <is>
          <t>INV00025652</t>
        </is>
      </c>
      <c r="B44" s="3" t="inlineStr">
        <is>
          <t>DONE</t>
        </is>
      </c>
      <c r="C44" s="3" t="inlineStr">
        <is>
          <t>NORMAL</t>
        </is>
      </c>
      <c r="D44" s="3" t="inlineStr">
        <is>
          <t>Alberto Mirón 🦅</t>
        </is>
      </c>
      <c r="E44" s="16" t="n">
        <v>46252.70975034301</v>
      </c>
      <c r="F44" s="16" t="n">
        <v>46254.94638165123</v>
      </c>
      <c r="G44" s="8" t="n">
        <v>53.7</v>
      </c>
      <c r="H44" s="8" t="n">
        <v>2.2</v>
      </c>
      <c r="I44" s="17" t="inlineStr">
        <is>
          <t>2026-08</t>
        </is>
      </c>
      <c r="J44" s="17" t="n"/>
    </row>
    <row r="45">
      <c r="A45" s="3" t="inlineStr">
        <is>
          <t>INV00022437</t>
        </is>
      </c>
      <c r="B45" s="3" t="inlineStr">
        <is>
          <t>DONE</t>
        </is>
      </c>
      <c r="C45" s="3" t="inlineStr">
        <is>
          <t>NORMAL</t>
        </is>
      </c>
      <c r="D45" s="3" t="inlineStr">
        <is>
          <t>Roberto Vázquez</t>
        </is>
      </c>
      <c r="E45" s="16" t="n">
        <v>46252.70366985427</v>
      </c>
      <c r="F45" s="16" t="n">
        <v>46254.9452245279</v>
      </c>
      <c r="G45" s="8" t="n">
        <v>53.8</v>
      </c>
      <c r="H45" s="8" t="n">
        <v>2.2</v>
      </c>
      <c r="I45" s="17" t="inlineStr">
        <is>
          <t>2026-08</t>
        </is>
      </c>
      <c r="J45" s="17" t="n"/>
    </row>
    <row r="46">
      <c r="A46" s="3" t="inlineStr">
        <is>
          <t>INV00023570</t>
        </is>
      </c>
      <c r="B46" s="3" t="inlineStr">
        <is>
          <t>DONE</t>
        </is>
      </c>
      <c r="C46" s="3" t="inlineStr">
        <is>
          <t>NORMAL</t>
        </is>
      </c>
      <c r="D46" s="3" t="inlineStr">
        <is>
          <t>Julieta Partido</t>
        </is>
      </c>
      <c r="E46" s="16" t="n">
        <v>46252.69101389084</v>
      </c>
      <c r="F46" s="16" t="n">
        <v>46252.74271404075</v>
      </c>
      <c r="G46" s="8" t="n">
        <v>1.2</v>
      </c>
      <c r="H46" s="8" t="n">
        <v>0.1</v>
      </c>
      <c r="I46" s="17" t="inlineStr">
        <is>
          <t>2026-08</t>
        </is>
      </c>
      <c r="J46" s="17" t="n"/>
    </row>
    <row r="47">
      <c r="A47" s="3" t="inlineStr">
        <is>
          <t>INV00025674</t>
        </is>
      </c>
      <c r="B47" s="3" t="inlineStr">
        <is>
          <t>DONE</t>
        </is>
      </c>
      <c r="C47" s="3" t="inlineStr">
        <is>
          <t>NORMAL</t>
        </is>
      </c>
      <c r="D47" s="3" t="inlineStr">
        <is>
          <t>Julieta Partido</t>
        </is>
      </c>
      <c r="E47" s="16" t="n">
        <v>46251.70138276363</v>
      </c>
      <c r="F47" s="16" t="n">
        <v>46251.74738024671</v>
      </c>
      <c r="G47" s="8" t="n">
        <v>1.1</v>
      </c>
      <c r="H47" s="8" t="n">
        <v>0</v>
      </c>
      <c r="I47" s="17" t="inlineStr">
        <is>
          <t>2026-08</t>
        </is>
      </c>
      <c r="J47" s="17" t="n"/>
    </row>
    <row r="48">
      <c r="A48" s="3" t="inlineStr">
        <is>
          <t>INV00023564</t>
        </is>
      </c>
      <c r="B48" s="3" t="inlineStr">
        <is>
          <t>DONE</t>
        </is>
      </c>
      <c r="C48" s="3" t="inlineStr">
        <is>
          <t>URGENT</t>
        </is>
      </c>
      <c r="D48" s="3" t="inlineStr">
        <is>
          <t>Paolet Ordóñez</t>
        </is>
      </c>
      <c r="E48" s="16" t="n">
        <v>46252.75321715503</v>
      </c>
      <c r="F48" s="16" t="n">
        <v>46254.94682119416</v>
      </c>
      <c r="G48" s="8" t="n">
        <v>52.6</v>
      </c>
      <c r="H48" s="8" t="n">
        <v>2.2</v>
      </c>
      <c r="I48" s="17" t="inlineStr">
        <is>
          <t>2026-08</t>
        </is>
      </c>
      <c r="J48" s="17" t="n"/>
    </row>
    <row r="49">
      <c r="A49" s="3" t="inlineStr">
        <is>
          <t>INV00022697</t>
        </is>
      </c>
      <c r="B49" s="3" t="inlineStr">
        <is>
          <t>DONE</t>
        </is>
      </c>
      <c r="C49" s="3" t="inlineStr">
        <is>
          <t>URGENT</t>
        </is>
      </c>
      <c r="D49" s="3" t="inlineStr">
        <is>
          <t>Ana Paula De la Vega</t>
        </is>
      </c>
      <c r="E49" s="16" t="n">
        <v>46252.69255169145</v>
      </c>
      <c r="F49" s="16" t="n">
        <v>46254.94319169327</v>
      </c>
      <c r="G49" s="8" t="n">
        <v>54</v>
      </c>
      <c r="H49" s="8" t="n">
        <v>2.3</v>
      </c>
      <c r="I49" s="17" t="inlineStr">
        <is>
          <t>2026-08</t>
        </is>
      </c>
      <c r="J49" s="17" t="n"/>
    </row>
    <row r="50">
      <c r="A50" s="3" t="inlineStr">
        <is>
          <t>402487</t>
        </is>
      </c>
      <c r="B50" s="3" t="inlineStr">
        <is>
          <t>DONE</t>
        </is>
      </c>
      <c r="C50" s="3" t="inlineStr">
        <is>
          <t>NORMAL</t>
        </is>
      </c>
      <c r="D50" s="3" t="inlineStr">
        <is>
          <t>Paolet Ordóñez</t>
        </is>
      </c>
      <c r="E50" s="16" t="n">
        <v>46247.568295449</v>
      </c>
      <c r="F50" s="16" t="n">
        <v>46247.73464596615</v>
      </c>
      <c r="G50" s="8" t="n">
        <v>4</v>
      </c>
      <c r="H50" s="8" t="n">
        <v>0.2</v>
      </c>
      <c r="I50" s="17" t="inlineStr">
        <is>
          <t>2026-08</t>
        </is>
      </c>
      <c r="J50" s="17" t="n"/>
    </row>
    <row r="51">
      <c r="A51" s="3" t="inlineStr">
        <is>
          <t>INV00025767</t>
        </is>
      </c>
      <c r="B51" s="3" t="inlineStr">
        <is>
          <t>DONE</t>
        </is>
      </c>
      <c r="C51" s="3" t="inlineStr">
        <is>
          <t>NORMAL</t>
        </is>
      </c>
      <c r="D51" s="3" t="inlineStr"/>
      <c r="E51" s="16" t="n">
        <v>46247.81118900117</v>
      </c>
      <c r="F51" s="16" t="n">
        <v>46248.55742751798</v>
      </c>
      <c r="G51" s="8" t="n">
        <v>17.9</v>
      </c>
      <c r="H51" s="8" t="n">
        <v>0.7</v>
      </c>
      <c r="I51" s="17" t="inlineStr">
        <is>
          <t>2026-08</t>
        </is>
      </c>
      <c r="J51" s="17" t="n"/>
    </row>
    <row r="52">
      <c r="A52" s="3" t="inlineStr">
        <is>
          <t>471232</t>
        </is>
      </c>
      <c r="B52" s="3" t="inlineStr">
        <is>
          <t>DONE</t>
        </is>
      </c>
      <c r="C52" s="3" t="inlineStr">
        <is>
          <t>NORMAL</t>
        </is>
      </c>
      <c r="D52" s="3" t="inlineStr">
        <is>
          <t>Diana Escobar</t>
        </is>
      </c>
      <c r="E52" s="16" t="n">
        <v>46247.67062542702</v>
      </c>
      <c r="F52" s="16" t="n">
        <v>46247.72390932644</v>
      </c>
      <c r="G52" s="8" t="n">
        <v>1.3</v>
      </c>
      <c r="H52" s="8" t="n">
        <v>0.1</v>
      </c>
      <c r="I52" s="17" t="inlineStr">
        <is>
          <t>2026-08</t>
        </is>
      </c>
      <c r="J52" s="17" t="n"/>
    </row>
    <row r="53">
      <c r="A53" s="3" t="inlineStr">
        <is>
          <t>INV00018733</t>
        </is>
      </c>
      <c r="B53" s="3" t="inlineStr">
        <is>
          <t>DONE</t>
        </is>
      </c>
      <c r="C53" s="3" t="inlineStr">
        <is>
          <t>URGENT</t>
        </is>
      </c>
      <c r="D53" s="3" t="inlineStr">
        <is>
          <t>Yoseline Pineda</t>
        </is>
      </c>
      <c r="E53" s="16" t="n">
        <v>46247.98724714308</v>
      </c>
      <c r="F53" s="16" t="n">
        <v>46248.60668038027</v>
      </c>
      <c r="G53" s="8" t="n">
        <v>14.9</v>
      </c>
      <c r="H53" s="8" t="n">
        <v>0.6</v>
      </c>
      <c r="I53" s="17" t="inlineStr">
        <is>
          <t>2026-08</t>
        </is>
      </c>
      <c r="J53" s="17" t="n"/>
    </row>
    <row r="54">
      <c r="A54" s="3" t="inlineStr">
        <is>
          <t>INV00023636</t>
        </is>
      </c>
      <c r="B54" s="3" t="inlineStr">
        <is>
          <t>DONE</t>
        </is>
      </c>
      <c r="C54" s="3" t="inlineStr">
        <is>
          <t>NORMAL</t>
        </is>
      </c>
      <c r="D54" s="3" t="inlineStr">
        <is>
          <t>Marco Guadarrama</t>
        </is>
      </c>
      <c r="E54" s="16" t="n">
        <v>46245.76860598905</v>
      </c>
      <c r="F54" s="16" t="n">
        <v>46247.71317844219</v>
      </c>
      <c r="G54" s="8" t="n">
        <v>46.7</v>
      </c>
      <c r="H54" s="8" t="n">
        <v>1.9</v>
      </c>
      <c r="I54" s="17" t="inlineStr">
        <is>
          <t>2026-08</t>
        </is>
      </c>
      <c r="J54" s="17" t="n"/>
    </row>
    <row r="55">
      <c r="A55" s="3" t="inlineStr">
        <is>
          <t>INV00023866</t>
        </is>
      </c>
      <c r="B55" s="3" t="inlineStr">
        <is>
          <t>DONE</t>
        </is>
      </c>
      <c r="C55" s="3" t="inlineStr">
        <is>
          <t>NORMAL</t>
        </is>
      </c>
      <c r="D55" s="3" t="inlineStr">
        <is>
          <t>Diana Escobar</t>
        </is>
      </c>
      <c r="E55" s="16" t="n">
        <v>46245.649457486</v>
      </c>
      <c r="F55" s="16" t="n">
        <v>46245.73207156831</v>
      </c>
      <c r="G55" s="8" t="n">
        <v>2</v>
      </c>
      <c r="H55" s="8" t="n">
        <v>0.1</v>
      </c>
      <c r="I55" s="17" t="inlineStr">
        <is>
          <t>2026-08</t>
        </is>
      </c>
      <c r="J55" s="17" t="n"/>
    </row>
    <row r="56">
      <c r="A56" s="3" t="inlineStr">
        <is>
          <t>471125</t>
        </is>
      </c>
      <c r="B56" s="3" t="inlineStr">
        <is>
          <t>DONE</t>
        </is>
      </c>
      <c r="C56" s="3" t="inlineStr">
        <is>
          <t>NORMAL</t>
        </is>
      </c>
      <c r="D56" s="3" t="inlineStr">
        <is>
          <t>Diana Escobar</t>
        </is>
      </c>
      <c r="E56" s="16" t="n">
        <v>46244.76025295118</v>
      </c>
      <c r="F56" s="16" t="n">
        <v>46244.86738368186</v>
      </c>
      <c r="G56" s="8" t="n">
        <v>2.6</v>
      </c>
      <c r="H56" s="8" t="n">
        <v>0.1</v>
      </c>
      <c r="I56" s="17" t="inlineStr">
        <is>
          <t>2026-08</t>
        </is>
      </c>
      <c r="J56" s="17" t="n"/>
    </row>
    <row r="57">
      <c r="A57" s="3" t="inlineStr">
        <is>
          <t>INV00024594</t>
        </is>
      </c>
      <c r="B57" s="3" t="inlineStr">
        <is>
          <t>DONE</t>
        </is>
      </c>
      <c r="C57" s="3" t="inlineStr">
        <is>
          <t>URGENT</t>
        </is>
      </c>
      <c r="D57" s="3" t="inlineStr">
        <is>
          <t>Ana Paula De la Vega</t>
        </is>
      </c>
      <c r="E57" s="16" t="n">
        <v>46245.71079375908</v>
      </c>
      <c r="F57" s="16" t="n">
        <v>46247.67452837617</v>
      </c>
      <c r="G57" s="8" t="n">
        <v>47.1</v>
      </c>
      <c r="H57" s="8" t="n">
        <v>2</v>
      </c>
      <c r="I57" s="17" t="inlineStr">
        <is>
          <t>2026-08</t>
        </is>
      </c>
      <c r="J57" s="17" t="n"/>
    </row>
    <row r="58">
      <c r="A58" s="3" t="inlineStr">
        <is>
          <t>INV00025046</t>
        </is>
      </c>
      <c r="B58" s="3" t="inlineStr">
        <is>
          <t>DONE</t>
        </is>
      </c>
      <c r="C58" s="3" t="inlineStr">
        <is>
          <t>URGENT</t>
        </is>
      </c>
      <c r="D58" s="3" t="inlineStr">
        <is>
          <t>Ana Paula De la Vega</t>
        </is>
      </c>
      <c r="E58" s="16" t="n">
        <v>46244.72893268436</v>
      </c>
      <c r="F58" s="16" t="n">
        <v>46244.86286117399</v>
      </c>
      <c r="G58" s="8" t="n">
        <v>3.2</v>
      </c>
      <c r="H58" s="8" t="n">
        <v>0.1</v>
      </c>
      <c r="I58" s="17" t="inlineStr">
        <is>
          <t>2026-08</t>
        </is>
      </c>
      <c r="J58" s="17" t="n"/>
    </row>
    <row r="59">
      <c r="A59" s="3" t="inlineStr">
        <is>
          <t>INV00020266</t>
        </is>
      </c>
      <c r="B59" s="3" t="inlineStr">
        <is>
          <t>DONE</t>
        </is>
      </c>
      <c r="C59" s="3" t="inlineStr">
        <is>
          <t>NORMAL</t>
        </is>
      </c>
      <c r="D59" s="3" t="inlineStr">
        <is>
          <t>Elideth Peña</t>
        </is>
      </c>
      <c r="E59" s="16" t="n">
        <v>46240.63063445572</v>
      </c>
      <c r="F59" s="16" t="n">
        <v>46240.79287287786</v>
      </c>
      <c r="G59" s="8" t="n">
        <v>3.9</v>
      </c>
      <c r="H59" s="8" t="n">
        <v>0.2</v>
      </c>
      <c r="I59" s="17" t="inlineStr">
        <is>
          <t>2026-08</t>
        </is>
      </c>
      <c r="J59" s="17" t="n"/>
    </row>
    <row r="60">
      <c r="A60" s="3" t="inlineStr">
        <is>
          <t>391536</t>
        </is>
      </c>
      <c r="B60" s="3" t="inlineStr">
        <is>
          <t>DONE</t>
        </is>
      </c>
      <c r="C60" s="3" t="inlineStr">
        <is>
          <t>NORMAL</t>
        </is>
      </c>
      <c r="D60" s="3" t="inlineStr"/>
      <c r="E60" s="16" t="n">
        <v>46240.3021456227</v>
      </c>
      <c r="F60" s="16" t="n">
        <v>46240.83485852762</v>
      </c>
      <c r="G60" s="8" t="n">
        <v>12.8</v>
      </c>
      <c r="H60" s="8" t="n">
        <v>0.5</v>
      </c>
      <c r="I60" s="17" t="inlineStr">
        <is>
          <t>2026-08</t>
        </is>
      </c>
      <c r="J60" s="17" t="n"/>
    </row>
    <row r="61">
      <c r="A61" s="3" t="inlineStr">
        <is>
          <t>INV00022435</t>
        </is>
      </c>
      <c r="B61" s="3" t="inlineStr">
        <is>
          <t>DONE</t>
        </is>
      </c>
      <c r="C61" s="3" t="inlineStr">
        <is>
          <t>NORMAL</t>
        </is>
      </c>
      <c r="D61" s="3" t="inlineStr">
        <is>
          <t>Eduardo Paredes</t>
        </is>
      </c>
      <c r="E61" s="16" t="n">
        <v>46239.87921969107</v>
      </c>
      <c r="F61" s="16" t="n">
        <v>46248.73741754767</v>
      </c>
      <c r="G61" s="8" t="n">
        <v>212.6</v>
      </c>
      <c r="H61" s="8" t="n">
        <v>8.9</v>
      </c>
      <c r="I61" s="17" t="inlineStr">
        <is>
          <t>2026-08</t>
        </is>
      </c>
      <c r="J61" s="17" t="n"/>
    </row>
    <row r="62">
      <c r="A62" s="3" t="inlineStr">
        <is>
          <t>INV00023708</t>
        </is>
      </c>
      <c r="B62" s="3" t="inlineStr">
        <is>
          <t>DONE</t>
        </is>
      </c>
      <c r="C62" s="3" t="inlineStr">
        <is>
          <t>NORMAL</t>
        </is>
      </c>
      <c r="D62" s="3" t="inlineStr">
        <is>
          <t>Eduardo Paredes</t>
        </is>
      </c>
      <c r="E62" s="16" t="n">
        <v>46239.88387656486</v>
      </c>
      <c r="F62" s="16" t="n">
        <v>46240.83899756261</v>
      </c>
      <c r="G62" s="8" t="n">
        <v>22.9</v>
      </c>
      <c r="H62" s="8" t="n">
        <v>1</v>
      </c>
      <c r="I62" s="17" t="inlineStr">
        <is>
          <t>2026-08</t>
        </is>
      </c>
      <c r="J62" s="17" t="n"/>
    </row>
    <row r="63">
      <c r="A63" s="3" t="inlineStr">
        <is>
          <t>INV00021549</t>
        </is>
      </c>
      <c r="B63" s="3" t="inlineStr">
        <is>
          <t>DONE</t>
        </is>
      </c>
      <c r="C63" s="3" t="inlineStr">
        <is>
          <t>NORMAL</t>
        </is>
      </c>
      <c r="D63" s="3" t="inlineStr">
        <is>
          <t>Alejandra Mendoza 🌸</t>
        </is>
      </c>
      <c r="E63" s="16" t="n">
        <v>46239.8346036567</v>
      </c>
      <c r="F63" s="16" t="n">
        <v>46240.59124717223</v>
      </c>
      <c r="G63" s="8" t="n">
        <v>18.2</v>
      </c>
      <c r="H63" s="8" t="n">
        <v>0.8</v>
      </c>
      <c r="I63" s="17" t="inlineStr">
        <is>
          <t>2026-08</t>
        </is>
      </c>
      <c r="J63" s="17" t="n"/>
    </row>
    <row r="64">
      <c r="A64" s="3" t="inlineStr">
        <is>
          <t>471283</t>
        </is>
      </c>
      <c r="B64" s="3" t="inlineStr">
        <is>
          <t>DONE</t>
        </is>
      </c>
      <c r="C64" s="3" t="inlineStr">
        <is>
          <t>NORMAL</t>
        </is>
      </c>
      <c r="D64" s="3" t="inlineStr">
        <is>
          <t>Fernanda Sánchez</t>
        </is>
      </c>
      <c r="E64" s="16" t="n">
        <v>46239.74056956168</v>
      </c>
      <c r="F64" s="16" t="n">
        <v>46239.83259633294</v>
      </c>
      <c r="G64" s="8" t="n">
        <v>2.2</v>
      </c>
      <c r="H64" s="8" t="n">
        <v>0.1</v>
      </c>
      <c r="I64" s="17" t="inlineStr">
        <is>
          <t>2026-08</t>
        </is>
      </c>
      <c r="J64" s="17" t="n"/>
    </row>
    <row r="65">
      <c r="A65" s="3" t="inlineStr">
        <is>
          <t>INV00020925</t>
        </is>
      </c>
      <c r="B65" s="3" t="inlineStr">
        <is>
          <t>DONE</t>
        </is>
      </c>
      <c r="C65" s="3" t="inlineStr">
        <is>
          <t>NORMAL</t>
        </is>
      </c>
      <c r="D65" s="3" t="inlineStr">
        <is>
          <t>Alejandra Mendoza 🌸</t>
        </is>
      </c>
      <c r="E65" s="16" t="n">
        <v>46239.79182441631</v>
      </c>
      <c r="F65" s="16" t="n">
        <v>46239.82648343949</v>
      </c>
      <c r="G65" s="8" t="n">
        <v>0.8</v>
      </c>
      <c r="H65" s="8" t="n">
        <v>0</v>
      </c>
      <c r="I65" s="17" t="inlineStr">
        <is>
          <t>2026-08</t>
        </is>
      </c>
      <c r="J65" s="17" t="n"/>
    </row>
    <row r="66">
      <c r="A66" s="3" t="inlineStr">
        <is>
          <t>INV00024782</t>
        </is>
      </c>
      <c r="B66" s="3" t="inlineStr">
        <is>
          <t>DONE</t>
        </is>
      </c>
      <c r="C66" s="3" t="inlineStr">
        <is>
          <t>NORMAL</t>
        </is>
      </c>
      <c r="D66" s="3" t="inlineStr">
        <is>
          <t>Yoseline Pineda</t>
        </is>
      </c>
      <c r="E66" s="16" t="n">
        <v>46239.73868066905</v>
      </c>
      <c r="F66" s="16" t="n">
        <v>46239.82264360074</v>
      </c>
      <c r="G66" s="8" t="n">
        <v>2</v>
      </c>
      <c r="H66" s="8" t="n">
        <v>0.1</v>
      </c>
      <c r="I66" s="17" t="inlineStr">
        <is>
          <t>2026-08</t>
        </is>
      </c>
      <c r="J66" s="17" t="n"/>
    </row>
    <row r="67">
      <c r="A67" s="3" t="inlineStr">
        <is>
          <t>470261</t>
        </is>
      </c>
      <c r="B67" s="3" t="inlineStr">
        <is>
          <t>DONE</t>
        </is>
      </c>
      <c r="C67" s="3" t="inlineStr">
        <is>
          <t>NORMAL</t>
        </is>
      </c>
      <c r="D67" s="3" t="inlineStr">
        <is>
          <t>Marco Guadarrama</t>
        </is>
      </c>
      <c r="E67" s="16" t="n">
        <v>46238.63627986354</v>
      </c>
      <c r="F67" s="16" t="n">
        <v>46238.84390123955</v>
      </c>
      <c r="G67" s="8" t="n">
        <v>5</v>
      </c>
      <c r="H67" s="8" t="n">
        <v>0.2</v>
      </c>
      <c r="I67" s="17" t="inlineStr">
        <is>
          <t>2026-08</t>
        </is>
      </c>
      <c r="J67" s="17" t="n"/>
    </row>
    <row r="68">
      <c r="A68" s="3" t="inlineStr">
        <is>
          <t>INV00022357</t>
        </is>
      </c>
      <c r="B68" s="3" t="inlineStr">
        <is>
          <t>DONE</t>
        </is>
      </c>
      <c r="C68" s="3" t="inlineStr">
        <is>
          <t>NORMAL</t>
        </is>
      </c>
      <c r="D68" s="3" t="inlineStr">
        <is>
          <t>Marco Guadarrama</t>
        </is>
      </c>
      <c r="E68" s="16" t="n">
        <v>46238.6678905045</v>
      </c>
      <c r="F68" s="16" t="n">
        <v>46238.84043824561</v>
      </c>
      <c r="G68" s="8" t="n">
        <v>4.1</v>
      </c>
      <c r="H68" s="8" t="n">
        <v>0.2</v>
      </c>
      <c r="I68" s="17" t="inlineStr">
        <is>
          <t>2026-08</t>
        </is>
      </c>
      <c r="J68" s="17" t="n"/>
    </row>
    <row r="69">
      <c r="A69" s="3" t="inlineStr">
        <is>
          <t>INV00017915</t>
        </is>
      </c>
      <c r="B69" s="3" t="inlineStr">
        <is>
          <t>DONE</t>
        </is>
      </c>
      <c r="C69" s="3" t="inlineStr">
        <is>
          <t>URGENT</t>
        </is>
      </c>
      <c r="D69" s="3" t="inlineStr">
        <is>
          <t>Paolet Ordóñez</t>
        </is>
      </c>
      <c r="E69" s="16" t="n">
        <v>46238.75867661327</v>
      </c>
      <c r="F69" s="16" t="n">
        <v>46238.83708140898</v>
      </c>
      <c r="G69" s="8" t="n">
        <v>1.9</v>
      </c>
      <c r="H69" s="8" t="n">
        <v>0.1</v>
      </c>
      <c r="I69" s="17" t="inlineStr">
        <is>
          <t>2026-08</t>
        </is>
      </c>
      <c r="J69" s="17" t="n"/>
    </row>
    <row r="70">
      <c r="A70" s="3" t="inlineStr">
        <is>
          <t>471080</t>
        </is>
      </c>
      <c r="B70" s="3" t="inlineStr">
        <is>
          <t>DONE</t>
        </is>
      </c>
      <c r="C70" s="3" t="inlineStr">
        <is>
          <t>URGENT</t>
        </is>
      </c>
      <c r="D70" s="3" t="inlineStr">
        <is>
          <t>Asito Chucuan ✨</t>
        </is>
      </c>
      <c r="E70" s="16" t="n">
        <v>46238.69937014516</v>
      </c>
      <c r="F70" s="16" t="n">
        <v>46238.83484578655</v>
      </c>
      <c r="G70" s="8" t="n">
        <v>3.3</v>
      </c>
      <c r="H70" s="8" t="n">
        <v>0.1</v>
      </c>
      <c r="I70" s="17" t="inlineStr">
        <is>
          <t>2026-08</t>
        </is>
      </c>
      <c r="J70" s="17" t="n"/>
    </row>
    <row r="71">
      <c r="A71" s="3" t="inlineStr">
        <is>
          <t>INV00024047</t>
        </is>
      </c>
      <c r="B71" s="3" t="inlineStr">
        <is>
          <t>DONE</t>
        </is>
      </c>
      <c r="C71" s="3" t="inlineStr">
        <is>
          <t>NORMAL</t>
        </is>
      </c>
      <c r="D71" s="3" t="inlineStr">
        <is>
          <t>Yoseline Pineda</t>
        </is>
      </c>
      <c r="E71" s="16" t="n">
        <v>46238.75478448457</v>
      </c>
      <c r="F71" s="16" t="n">
        <v>46238.83807610704</v>
      </c>
      <c r="G71" s="8" t="n">
        <v>2</v>
      </c>
      <c r="H71" s="8" t="n">
        <v>0.1</v>
      </c>
      <c r="I71" s="17" t="inlineStr">
        <is>
          <t>2026-08</t>
        </is>
      </c>
      <c r="J71" s="17" t="n"/>
    </row>
    <row r="72">
      <c r="A72" s="3" t="inlineStr">
        <is>
          <t>QILNEW1945</t>
        </is>
      </c>
      <c r="B72" s="3" t="inlineStr">
        <is>
          <t>DONE</t>
        </is>
      </c>
      <c r="C72" s="3" t="inlineStr">
        <is>
          <t>NORMAL</t>
        </is>
      </c>
      <c r="D72" s="3" t="inlineStr">
        <is>
          <t>Alejandra Mendoza 🌸</t>
        </is>
      </c>
      <c r="E72" s="16" t="n">
        <v>46237.64037929925</v>
      </c>
      <c r="F72" s="16" t="n">
        <v>46237.67630547368</v>
      </c>
      <c r="G72" s="8" t="n">
        <v>0.9</v>
      </c>
      <c r="H72" s="8" t="n">
        <v>0</v>
      </c>
      <c r="I72" s="17" t="inlineStr">
        <is>
          <t>2026-08</t>
        </is>
      </c>
      <c r="J72" s="17" t="n"/>
    </row>
    <row r="73">
      <c r="A73" s="3" t="inlineStr">
        <is>
          <t>INV00020660</t>
        </is>
      </c>
      <c r="B73" s="3" t="inlineStr">
        <is>
          <t>DONE</t>
        </is>
      </c>
      <c r="C73" s="3" t="inlineStr">
        <is>
          <t>NORMAL</t>
        </is>
      </c>
      <c r="D73" s="3" t="inlineStr">
        <is>
          <t>Julieta Partido</t>
        </is>
      </c>
      <c r="E73" s="16" t="n">
        <v>46234.71533792326</v>
      </c>
      <c r="F73" s="16" t="n">
        <v>46234.76426864962</v>
      </c>
      <c r="G73" s="8" t="n">
        <v>1.2</v>
      </c>
      <c r="H73" s="8" t="n">
        <v>0</v>
      </c>
      <c r="I73" s="17" t="inlineStr">
        <is>
          <t>2026-07</t>
        </is>
      </c>
      <c r="J73" s="17" t="n"/>
    </row>
    <row r="74">
      <c r="A74" s="3" t="inlineStr">
        <is>
          <t>INV00024495</t>
        </is>
      </c>
      <c r="B74" s="3" t="inlineStr">
        <is>
          <t>DONE</t>
        </is>
      </c>
      <c r="C74" s="3" t="inlineStr">
        <is>
          <t>URGENT</t>
        </is>
      </c>
      <c r="D74" s="3" t="inlineStr">
        <is>
          <t>Yoseline Pineda</t>
        </is>
      </c>
      <c r="E74" s="16" t="n">
        <v>46237.74122475769</v>
      </c>
      <c r="F74" s="16" t="n">
        <v>46237.81774602905</v>
      </c>
      <c r="G74" s="8" t="n">
        <v>1.8</v>
      </c>
      <c r="H74" s="8" t="n">
        <v>0.1</v>
      </c>
      <c r="I74" s="17" t="inlineStr">
        <is>
          <t>2026-08</t>
        </is>
      </c>
      <c r="J74" s="17" t="n"/>
    </row>
    <row r="75">
      <c r="A75" s="3" t="inlineStr">
        <is>
          <t>INV00017915</t>
        </is>
      </c>
      <c r="B75" s="3" t="inlineStr">
        <is>
          <t>DONE</t>
        </is>
      </c>
      <c r="C75" s="3" t="inlineStr">
        <is>
          <t>URGENT</t>
        </is>
      </c>
      <c r="D75" s="3" t="inlineStr">
        <is>
          <t>Paolet Ordóñez</t>
        </is>
      </c>
      <c r="E75" s="16" t="n">
        <v>46234.70946856475</v>
      </c>
      <c r="F75" s="16" t="n">
        <v>46237.80901600915</v>
      </c>
      <c r="G75" s="8" t="n">
        <v>74.40000000000001</v>
      </c>
      <c r="H75" s="8" t="n">
        <v>3.1</v>
      </c>
      <c r="I75" s="17" t="inlineStr">
        <is>
          <t>2026-07</t>
        </is>
      </c>
      <c r="J75" s="17" t="n"/>
    </row>
    <row r="76">
      <c r="A76" s="3" t="inlineStr">
        <is>
          <t>INV00020003</t>
        </is>
      </c>
      <c r="B76" s="3" t="inlineStr">
        <is>
          <t>DONE</t>
        </is>
      </c>
      <c r="C76" s="3" t="inlineStr">
        <is>
          <t>NORMAL</t>
        </is>
      </c>
      <c r="D76" s="3" t="inlineStr">
        <is>
          <t>Eduardo Paredes</t>
        </is>
      </c>
      <c r="E76" s="16" t="n">
        <v>46234.64196496641</v>
      </c>
      <c r="F76" s="16" t="n">
        <v>46234.69016272713</v>
      </c>
      <c r="G76" s="8" t="n">
        <v>1.2</v>
      </c>
      <c r="H76" s="8" t="n">
        <v>0</v>
      </c>
      <c r="I76" s="17" t="inlineStr">
        <is>
          <t>2026-07</t>
        </is>
      </c>
      <c r="J76" s="17" t="n"/>
    </row>
    <row r="77">
      <c r="A77" s="3" t="inlineStr">
        <is>
          <t>INV00024074</t>
        </is>
      </c>
      <c r="B77" s="3" t="inlineStr">
        <is>
          <t>DONE</t>
        </is>
      </c>
      <c r="C77" s="3" t="inlineStr">
        <is>
          <t>NORMAL</t>
        </is>
      </c>
      <c r="D77" s="3" t="inlineStr">
        <is>
          <t>Eduardo Paredes</t>
        </is>
      </c>
      <c r="E77" s="16" t="n">
        <v>46234.62916615126</v>
      </c>
      <c r="F77" s="16" t="n">
        <v>46234.68842459578</v>
      </c>
      <c r="G77" s="8" t="n">
        <v>1.4</v>
      </c>
      <c r="H77" s="8" t="n">
        <v>0.1</v>
      </c>
      <c r="I77" s="17" t="inlineStr">
        <is>
          <t>2026-07</t>
        </is>
      </c>
      <c r="J77" s="17" t="n"/>
    </row>
    <row r="78">
      <c r="A78" s="3" t="inlineStr">
        <is>
          <t>INV00023791</t>
        </is>
      </c>
      <c r="B78" s="3" t="inlineStr">
        <is>
          <t>WORKING</t>
        </is>
      </c>
      <c r="C78" s="3" t="inlineStr">
        <is>
          <t>NORMAL</t>
        </is>
      </c>
      <c r="D78" s="3" t="inlineStr">
        <is>
          <t>Yoseline Pineda</t>
        </is>
      </c>
      <c r="E78" s="16" t="n">
        <v>46230.6552297637</v>
      </c>
      <c r="F78" s="17" t="n"/>
      <c r="G78" s="8" t="n"/>
      <c r="H78" s="8" t="n"/>
      <c r="I78" s="17" t="inlineStr">
        <is>
          <t>2026-07</t>
        </is>
      </c>
      <c r="J78" s="7" t="n">
        <v>37</v>
      </c>
    </row>
    <row r="79">
      <c r="A79" s="3" t="inlineStr">
        <is>
          <t>466030</t>
        </is>
      </c>
      <c r="B79" s="3" t="inlineStr">
        <is>
          <t>DONE</t>
        </is>
      </c>
      <c r="C79" s="3" t="inlineStr">
        <is>
          <t>NORMAL</t>
        </is>
      </c>
      <c r="D79" s="3" t="inlineStr">
        <is>
          <t>Roberto Vázquez</t>
        </is>
      </c>
      <c r="E79" s="16" t="n">
        <v>46217.60155246204</v>
      </c>
      <c r="F79" s="16" t="n">
        <v>46232.632758265</v>
      </c>
      <c r="G79" s="8" t="n">
        <v>360.7</v>
      </c>
      <c r="H79" s="8" t="n">
        <v>15</v>
      </c>
      <c r="I79" s="17" t="inlineStr">
        <is>
          <t>2026-07</t>
        </is>
      </c>
      <c r="J79" s="17" t="n"/>
    </row>
    <row r="80">
      <c r="A80" s="3" t="inlineStr">
        <is>
          <t>INV00022658</t>
        </is>
      </c>
      <c r="B80" s="3" t="inlineStr">
        <is>
          <t>DONE</t>
        </is>
      </c>
      <c r="C80" s="3" t="inlineStr">
        <is>
          <t>NORMAL</t>
        </is>
      </c>
      <c r="D80" s="3" t="inlineStr">
        <is>
          <t>Yoseline Pineda</t>
        </is>
      </c>
      <c r="E80" s="16" t="n">
        <v>46226.75976203733</v>
      </c>
      <c r="F80" s="16" t="n">
        <v>46237.82056520992</v>
      </c>
      <c r="G80" s="8" t="n">
        <v>265.5</v>
      </c>
      <c r="H80" s="8" t="n">
        <v>11.1</v>
      </c>
      <c r="I80" s="17" t="inlineStr">
        <is>
          <t>2026-07</t>
        </is>
      </c>
      <c r="J80" s="17" t="n"/>
    </row>
    <row r="81">
      <c r="A81" s="3" t="inlineStr">
        <is>
          <t>471154</t>
        </is>
      </c>
      <c r="B81" s="3" t="inlineStr">
        <is>
          <t>DONE</t>
        </is>
      </c>
      <c r="C81" s="3" t="inlineStr">
        <is>
          <t>URGENT</t>
        </is>
      </c>
      <c r="D81" s="3" t="inlineStr">
        <is>
          <t>Ana Paula De la Vega</t>
        </is>
      </c>
      <c r="E81" s="16" t="n">
        <v>46233.68614282043</v>
      </c>
      <c r="F81" s="16" t="n">
        <v>46234.70259240444</v>
      </c>
      <c r="G81" s="8" t="n">
        <v>24.4</v>
      </c>
      <c r="H81" s="8" t="n">
        <v>1</v>
      </c>
      <c r="I81" s="17" t="inlineStr">
        <is>
          <t>2026-07</t>
        </is>
      </c>
      <c r="J81" s="17" t="n"/>
    </row>
    <row r="82">
      <c r="A82" s="3" t="inlineStr">
        <is>
          <t>467465</t>
        </is>
      </c>
      <c r="B82" s="3" t="inlineStr">
        <is>
          <t>DONE</t>
        </is>
      </c>
      <c r="C82" s="3" t="inlineStr">
        <is>
          <t>HIGH PRIORITY</t>
        </is>
      </c>
      <c r="D82" s="3" t="inlineStr">
        <is>
          <t>Alberto Mirón 🦅</t>
        </is>
      </c>
      <c r="E82" s="16" t="n">
        <v>46231.8351270749</v>
      </c>
      <c r="F82" s="16" t="n">
        <v>46232.79815816914</v>
      </c>
      <c r="G82" s="8" t="n">
        <v>23.1</v>
      </c>
      <c r="H82" s="8" t="n">
        <v>1</v>
      </c>
      <c r="I82" s="17" t="inlineStr">
        <is>
          <t>2026-07</t>
        </is>
      </c>
      <c r="J82" s="17" t="n"/>
    </row>
    <row r="83">
      <c r="A83" s="3" t="inlineStr">
        <is>
          <t>INV00023889</t>
        </is>
      </c>
      <c r="B83" s="3" t="inlineStr">
        <is>
          <t>DONE</t>
        </is>
      </c>
      <c r="C83" s="3" t="inlineStr">
        <is>
          <t>NORMAL</t>
        </is>
      </c>
      <c r="D83" s="3" t="inlineStr">
        <is>
          <t>Fernanda Sánchez</t>
        </is>
      </c>
      <c r="E83" s="16" t="n">
        <v>46231.82263557397</v>
      </c>
      <c r="F83" s="16" t="n">
        <v>46232.79676711519</v>
      </c>
      <c r="G83" s="8" t="n">
        <v>23.4</v>
      </c>
      <c r="H83" s="8" t="n">
        <v>1</v>
      </c>
      <c r="I83" s="17" t="inlineStr">
        <is>
          <t>2026-07</t>
        </is>
      </c>
      <c r="J83" s="17" t="n"/>
    </row>
    <row r="84">
      <c r="A84" s="3" t="inlineStr">
        <is>
          <t>INV00024260</t>
        </is>
      </c>
      <c r="B84" s="3" t="inlineStr">
        <is>
          <t>DONE</t>
        </is>
      </c>
      <c r="C84" s="3" t="inlineStr">
        <is>
          <t>NORMAL</t>
        </is>
      </c>
      <c r="D84" s="3" t="inlineStr">
        <is>
          <t>Fernanda Sánchez</t>
        </is>
      </c>
      <c r="E84" s="16" t="n">
        <v>46231.77968580525</v>
      </c>
      <c r="F84" s="16" t="n">
        <v>46231.81687923438</v>
      </c>
      <c r="G84" s="8" t="n">
        <v>0.9</v>
      </c>
      <c r="H84" s="8" t="n">
        <v>0</v>
      </c>
      <c r="I84" s="17" t="inlineStr">
        <is>
          <t>2026-07</t>
        </is>
      </c>
      <c r="J84" s="17" t="n"/>
    </row>
    <row r="85">
      <c r="A85" s="3" t="inlineStr">
        <is>
          <t>396156</t>
        </is>
      </c>
      <c r="B85" s="3" t="inlineStr">
        <is>
          <t>DONE</t>
        </is>
      </c>
      <c r="C85" s="3" t="inlineStr">
        <is>
          <t>NORMAL</t>
        </is>
      </c>
      <c r="D85" s="3" t="inlineStr">
        <is>
          <t>Alejandra Mendoza 🌸</t>
        </is>
      </c>
      <c r="E85" s="16" t="n">
        <v>46231.56935653538</v>
      </c>
      <c r="F85" s="16" t="n">
        <v>46231.78381342807</v>
      </c>
      <c r="G85" s="8" t="n">
        <v>5.1</v>
      </c>
      <c r="H85" s="8" t="n">
        <v>0.2</v>
      </c>
      <c r="I85" s="17" t="inlineStr">
        <is>
          <t>2026-07</t>
        </is>
      </c>
      <c r="J85" s="17" t="n"/>
    </row>
    <row r="86">
      <c r="A86" s="3" t="inlineStr">
        <is>
          <t>458598</t>
        </is>
      </c>
      <c r="B86" s="3" t="inlineStr">
        <is>
          <t>DONE</t>
        </is>
      </c>
      <c r="C86" s="3" t="inlineStr">
        <is>
          <t>NORMAL</t>
        </is>
      </c>
      <c r="D86" s="3" t="inlineStr">
        <is>
          <t>Paolet Ordóñez</t>
        </is>
      </c>
      <c r="E86" s="16" t="n">
        <v>46230.62554513103</v>
      </c>
      <c r="F86" s="16" t="n">
        <v>46230.78305255304</v>
      </c>
      <c r="G86" s="8" t="n">
        <v>3.8</v>
      </c>
      <c r="H86" s="8" t="n">
        <v>0.2</v>
      </c>
      <c r="I86" s="17" t="inlineStr">
        <is>
          <t>2026-07</t>
        </is>
      </c>
      <c r="J86" s="17" t="n"/>
    </row>
    <row r="87">
      <c r="A87" s="3" t="inlineStr">
        <is>
          <t>INV00022548</t>
        </is>
      </c>
      <c r="B87" s="3" t="inlineStr">
        <is>
          <t>DONE</t>
        </is>
      </c>
      <c r="C87" s="3" t="inlineStr">
        <is>
          <t>URGENT</t>
        </is>
      </c>
      <c r="D87" s="3" t="inlineStr">
        <is>
          <t>Ana Paula De la Vega</t>
        </is>
      </c>
      <c r="E87" s="16" t="n">
        <v>46232.64962061411</v>
      </c>
      <c r="F87" s="16" t="n">
        <v>46232.79539817644</v>
      </c>
      <c r="G87" s="8" t="n">
        <v>3.5</v>
      </c>
      <c r="H87" s="8" t="n">
        <v>0.1</v>
      </c>
      <c r="I87" s="17" t="inlineStr">
        <is>
          <t>2026-07</t>
        </is>
      </c>
      <c r="J87" s="17" t="n"/>
    </row>
    <row r="88">
      <c r="A88" s="3" t="inlineStr">
        <is>
          <t>470817</t>
        </is>
      </c>
      <c r="B88" s="3" t="inlineStr">
        <is>
          <t>DONE</t>
        </is>
      </c>
      <c r="C88" s="3" t="inlineStr">
        <is>
          <t>URGENT</t>
        </is>
      </c>
      <c r="D88" s="3" t="inlineStr">
        <is>
          <t>Fernanda Sánchez</t>
        </is>
      </c>
      <c r="E88" s="16" t="n">
        <v>46230.9226414086</v>
      </c>
      <c r="F88" s="16" t="n">
        <v>46231.56250840119</v>
      </c>
      <c r="G88" s="8" t="n">
        <v>15.4</v>
      </c>
      <c r="H88" s="8" t="n">
        <v>0.6</v>
      </c>
      <c r="I88" s="17" t="inlineStr">
        <is>
          <t>2026-07</t>
        </is>
      </c>
      <c r="J88" s="17" t="n"/>
    </row>
    <row r="89">
      <c r="A89" s="3" t="inlineStr">
        <is>
          <t>INV00022114</t>
        </is>
      </c>
      <c r="B89" s="3" t="inlineStr">
        <is>
          <t>DONE</t>
        </is>
      </c>
      <c r="C89" s="3" t="inlineStr">
        <is>
          <t>NORMAL</t>
        </is>
      </c>
      <c r="D89" s="3" t="inlineStr">
        <is>
          <t>Eduardo Paredes</t>
        </is>
      </c>
      <c r="E89" s="16" t="n">
        <v>46230.83945848964</v>
      </c>
      <c r="F89" s="16" t="n">
        <v>46230.86512448826</v>
      </c>
      <c r="G89" s="8" t="n">
        <v>0.6</v>
      </c>
      <c r="H89" s="8" t="n">
        <v>0</v>
      </c>
      <c r="I89" s="17" t="inlineStr">
        <is>
          <t>2026-07</t>
        </is>
      </c>
      <c r="J89" s="17" t="n"/>
    </row>
    <row r="90">
      <c r="A90" s="3" t="inlineStr">
        <is>
          <t>INV00021661</t>
        </is>
      </c>
      <c r="B90" s="3" t="inlineStr">
        <is>
          <t>DONE</t>
        </is>
      </c>
      <c r="C90" s="3" t="inlineStr">
        <is>
          <t>HIGH PRIORITY</t>
        </is>
      </c>
      <c r="D90" s="3" t="inlineStr">
        <is>
          <t>Ana Paula De la Vega</t>
        </is>
      </c>
      <c r="E90" s="16" t="n">
        <v>46230.52985697919</v>
      </c>
      <c r="F90" s="16" t="n">
        <v>46230.77715360731</v>
      </c>
      <c r="G90" s="8" t="n">
        <v>5.9</v>
      </c>
      <c r="H90" s="8" t="n">
        <v>0.2</v>
      </c>
      <c r="I90" s="17" t="inlineStr">
        <is>
          <t>2026-07</t>
        </is>
      </c>
      <c r="J90" s="17" t="n"/>
    </row>
    <row r="91">
      <c r="A91" s="3" t="inlineStr">
        <is>
          <t>INV00022093</t>
        </is>
      </c>
      <c r="B91" s="3" t="inlineStr">
        <is>
          <t>DONE</t>
        </is>
      </c>
      <c r="C91" s="3" t="inlineStr">
        <is>
          <t>NORMAL</t>
        </is>
      </c>
      <c r="D91" s="3" t="inlineStr">
        <is>
          <t>Julieta Partido</t>
        </is>
      </c>
      <c r="E91" s="16" t="n">
        <v>46226.61371833351</v>
      </c>
      <c r="F91" s="16" t="n">
        <v>46226.83213606058</v>
      </c>
      <c r="G91" s="8" t="n">
        <v>5.2</v>
      </c>
      <c r="H91" s="8" t="n">
        <v>0.2</v>
      </c>
      <c r="I91" s="17" t="inlineStr">
        <is>
          <t>2026-07</t>
        </is>
      </c>
      <c r="J91" s="17" t="n"/>
    </row>
    <row r="92">
      <c r="A92" s="3" t="inlineStr">
        <is>
          <t>INV00022114</t>
        </is>
      </c>
      <c r="B92" s="3" t="inlineStr">
        <is>
          <t>DONE</t>
        </is>
      </c>
      <c r="C92" s="3" t="inlineStr">
        <is>
          <t>NORMAL</t>
        </is>
      </c>
      <c r="D92" s="3" t="inlineStr">
        <is>
          <t>Eduardo Paredes</t>
        </is>
      </c>
      <c r="E92" s="16" t="n">
        <v>46226.72097365729</v>
      </c>
      <c r="F92" s="16" t="n">
        <v>46226.81638985118</v>
      </c>
      <c r="G92" s="8" t="n">
        <v>2.3</v>
      </c>
      <c r="H92" s="8" t="n">
        <v>0.1</v>
      </c>
      <c r="I92" s="17" t="inlineStr">
        <is>
          <t>2026-07</t>
        </is>
      </c>
      <c r="J92" s="17" t="n"/>
    </row>
    <row r="93">
      <c r="A93" s="3" t="inlineStr">
        <is>
          <t>469428</t>
        </is>
      </c>
      <c r="B93" s="3" t="inlineStr">
        <is>
          <t>DONE</t>
        </is>
      </c>
      <c r="C93" s="3" t="inlineStr">
        <is>
          <t>NORMAL</t>
        </is>
      </c>
      <c r="D93" s="3" t="inlineStr">
        <is>
          <t>Alejandra Mendoza 🌸</t>
        </is>
      </c>
      <c r="E93" s="16" t="n">
        <v>46227.62465910269</v>
      </c>
      <c r="F93" s="16" t="n">
        <v>46227.83853014256</v>
      </c>
      <c r="G93" s="8" t="n">
        <v>5.1</v>
      </c>
      <c r="H93" s="8" t="n">
        <v>0.2</v>
      </c>
      <c r="I93" s="17" t="inlineStr">
        <is>
          <t>2026-07</t>
        </is>
      </c>
      <c r="J93" s="17" t="n"/>
    </row>
    <row r="94">
      <c r="A94" s="3" t="inlineStr">
        <is>
          <t>INV00023866</t>
        </is>
      </c>
      <c r="B94" s="3" t="inlineStr">
        <is>
          <t>DONE</t>
        </is>
      </c>
      <c r="C94" s="3" t="inlineStr">
        <is>
          <t>NORMAL</t>
        </is>
      </c>
      <c r="D94" s="3" t="inlineStr"/>
      <c r="E94" s="16" t="n">
        <v>46226.6341336323</v>
      </c>
      <c r="F94" s="16" t="n">
        <v>46232.79999625772</v>
      </c>
      <c r="G94" s="8" t="n">
        <v>148</v>
      </c>
      <c r="H94" s="8" t="n">
        <v>6.2</v>
      </c>
      <c r="I94" s="17" t="inlineStr">
        <is>
          <t>2026-07</t>
        </is>
      </c>
      <c r="J94" s="17" t="n"/>
    </row>
    <row r="95">
      <c r="A95" s="3" t="inlineStr"/>
      <c r="B95" s="3" t="inlineStr">
        <is>
          <t>DONE</t>
        </is>
      </c>
      <c r="C95" s="3" t="inlineStr">
        <is>
          <t>NORMAL</t>
        </is>
      </c>
      <c r="D95" s="3" t="inlineStr"/>
      <c r="E95" s="16" t="n">
        <v>46225.8033172353</v>
      </c>
      <c r="F95" s="16" t="n">
        <v>46226.79799512712</v>
      </c>
      <c r="G95" s="8" t="n">
        <v>23.9</v>
      </c>
      <c r="H95" s="8" t="n">
        <v>1</v>
      </c>
      <c r="I95" s="17" t="inlineStr">
        <is>
          <t>2026-07</t>
        </is>
      </c>
      <c r="J95" s="17" t="n"/>
    </row>
    <row r="96">
      <c r="A96" s="3" t="inlineStr">
        <is>
          <t>468804</t>
        </is>
      </c>
      <c r="B96" s="3" t="inlineStr">
        <is>
          <t>DONE</t>
        </is>
      </c>
      <c r="C96" s="3" t="inlineStr">
        <is>
          <t>NORMAL</t>
        </is>
      </c>
      <c r="D96" s="3" t="inlineStr">
        <is>
          <t>Paolet Ordóñez</t>
        </is>
      </c>
      <c r="E96" s="16" t="n">
        <v>46225.70820745989</v>
      </c>
      <c r="F96" s="16" t="n">
        <v>46225.7712949056</v>
      </c>
      <c r="G96" s="8" t="n">
        <v>1.5</v>
      </c>
      <c r="H96" s="8" t="n">
        <v>0.1</v>
      </c>
      <c r="I96" s="17" t="inlineStr">
        <is>
          <t>2026-07</t>
        </is>
      </c>
      <c r="J96" s="17" t="n"/>
    </row>
    <row r="97">
      <c r="A97" s="3" t="inlineStr">
        <is>
          <t>QILNEW2019</t>
        </is>
      </c>
      <c r="B97" s="3" t="inlineStr">
        <is>
          <t>DONE</t>
        </is>
      </c>
      <c r="C97" s="3" t="inlineStr">
        <is>
          <t>NORMAL</t>
        </is>
      </c>
      <c r="D97" s="3" t="inlineStr">
        <is>
          <t>Alberto Mirón 🦅</t>
        </is>
      </c>
      <c r="E97" s="16" t="n">
        <v>46225.70781744149</v>
      </c>
      <c r="F97" s="16" t="n">
        <v>46225.74082126997</v>
      </c>
      <c r="G97" s="8" t="n">
        <v>0.8</v>
      </c>
      <c r="H97" s="8" t="n">
        <v>0</v>
      </c>
      <c r="I97" s="17" t="inlineStr">
        <is>
          <t>2026-07</t>
        </is>
      </c>
      <c r="J97" s="17" t="n"/>
    </row>
    <row r="98">
      <c r="A98" s="3" t="inlineStr">
        <is>
          <t>468711</t>
        </is>
      </c>
      <c r="B98" s="3" t="inlineStr">
        <is>
          <t>DONE</t>
        </is>
      </c>
      <c r="C98" s="3" t="inlineStr">
        <is>
          <t>NORMAL</t>
        </is>
      </c>
      <c r="D98" s="3" t="inlineStr">
        <is>
          <t>Paolet Ordóñez</t>
        </is>
      </c>
      <c r="E98" s="16" t="n">
        <v>46225.70422668895</v>
      </c>
      <c r="F98" s="16" t="n">
        <v>46225.72723908448</v>
      </c>
      <c r="G98" s="8" t="n">
        <v>0.6</v>
      </c>
      <c r="H98" s="8" t="n">
        <v>0</v>
      </c>
      <c r="I98" s="17" t="inlineStr">
        <is>
          <t>2026-07</t>
        </is>
      </c>
      <c r="J98" s="17" t="n"/>
    </row>
    <row r="99">
      <c r="A99" s="3" t="inlineStr">
        <is>
          <t>INV00020168</t>
        </is>
      </c>
      <c r="B99" s="3" t="inlineStr">
        <is>
          <t>DONE</t>
        </is>
      </c>
      <c r="C99" s="3" t="inlineStr">
        <is>
          <t>NORMAL</t>
        </is>
      </c>
      <c r="D99" s="3" t="inlineStr">
        <is>
          <t>Alberto Mirón 🦅</t>
        </is>
      </c>
      <c r="E99" s="16" t="n">
        <v>46224.78422796373</v>
      </c>
      <c r="F99" s="16" t="n">
        <v>46232.80703217212</v>
      </c>
      <c r="G99" s="8" t="n">
        <v>192.5</v>
      </c>
      <c r="H99" s="8" t="n">
        <v>8</v>
      </c>
      <c r="I99" s="17" t="inlineStr">
        <is>
          <t>2026-07</t>
        </is>
      </c>
      <c r="J99" s="17" t="n"/>
    </row>
    <row r="100">
      <c r="A100" s="3" t="inlineStr">
        <is>
          <t>471182</t>
        </is>
      </c>
      <c r="B100" s="3" t="inlineStr">
        <is>
          <t>DONE</t>
        </is>
      </c>
      <c r="C100" s="3" t="inlineStr">
        <is>
          <t>URGENT</t>
        </is>
      </c>
      <c r="D100" s="3" t="inlineStr">
        <is>
          <t>Ana Paula De la Vega</t>
        </is>
      </c>
      <c r="E100" s="16" t="n">
        <v>46226.61208360887</v>
      </c>
      <c r="F100" s="16" t="n">
        <v>46232.60976478083</v>
      </c>
      <c r="G100" s="8" t="n">
        <v>143.9</v>
      </c>
      <c r="H100" s="8" t="n">
        <v>6</v>
      </c>
      <c r="I100" s="17" t="inlineStr">
        <is>
          <t>2026-07</t>
        </is>
      </c>
      <c r="J100" s="17" t="n"/>
    </row>
    <row r="101">
      <c r="A101" s="3" t="inlineStr">
        <is>
          <t>INV00023024</t>
        </is>
      </c>
      <c r="B101" s="3" t="inlineStr">
        <is>
          <t>DONE</t>
        </is>
      </c>
      <c r="C101" s="3" t="inlineStr">
        <is>
          <t>NORMAL</t>
        </is>
      </c>
      <c r="D101" s="3" t="inlineStr">
        <is>
          <t>Marco Guadarrama</t>
        </is>
      </c>
      <c r="E101" s="16" t="n">
        <v>46224.6422425085</v>
      </c>
      <c r="F101" s="16" t="n">
        <v>46224.79051225005</v>
      </c>
      <c r="G101" s="8" t="n">
        <v>3.6</v>
      </c>
      <c r="H101" s="8" t="n">
        <v>0.1</v>
      </c>
      <c r="I101" s="17" t="inlineStr">
        <is>
          <t>2026-07</t>
        </is>
      </c>
      <c r="J101" s="17" t="n"/>
    </row>
    <row r="102">
      <c r="A102" s="3" t="inlineStr">
        <is>
          <t>INV00021914</t>
        </is>
      </c>
      <c r="B102" s="3" t="inlineStr">
        <is>
          <t>DONE</t>
        </is>
      </c>
      <c r="C102" s="3" t="inlineStr">
        <is>
          <t>NORMAL</t>
        </is>
      </c>
      <c r="D102" s="3" t="inlineStr">
        <is>
          <t>Marco Guadarrama</t>
        </is>
      </c>
      <c r="E102" s="16" t="n">
        <v>46224.64103678074</v>
      </c>
      <c r="F102" s="16" t="n">
        <v>46224.7892427736</v>
      </c>
      <c r="G102" s="8" t="n">
        <v>3.6</v>
      </c>
      <c r="H102" s="8" t="n">
        <v>0.1</v>
      </c>
      <c r="I102" s="17" t="inlineStr">
        <is>
          <t>2026-07</t>
        </is>
      </c>
      <c r="J102" s="17" t="n"/>
    </row>
    <row r="103">
      <c r="A103" s="3" t="inlineStr">
        <is>
          <t>SV540</t>
        </is>
      </c>
      <c r="B103" s="3" t="inlineStr">
        <is>
          <t>WORKING</t>
        </is>
      </c>
      <c r="C103" s="3" t="inlineStr">
        <is>
          <t>NORMAL</t>
        </is>
      </c>
      <c r="D103" s="3" t="inlineStr">
        <is>
          <t>Israel Illescas</t>
        </is>
      </c>
      <c r="E103" s="16" t="n">
        <v>46223.75779360971</v>
      </c>
      <c r="F103" s="17" t="n"/>
      <c r="G103" s="8" t="n"/>
      <c r="H103" s="8" t="n"/>
      <c r="I103" s="17" t="inlineStr">
        <is>
          <t>2026-07</t>
        </is>
      </c>
      <c r="J103" s="7" t="n">
        <v>44</v>
      </c>
    </row>
    <row r="104">
      <c r="A104" s="3" t="inlineStr">
        <is>
          <t>INV00020144</t>
        </is>
      </c>
      <c r="B104" s="3" t="inlineStr">
        <is>
          <t>DONE</t>
        </is>
      </c>
      <c r="C104" s="3" t="inlineStr">
        <is>
          <t>URGENT</t>
        </is>
      </c>
      <c r="D104" s="3" t="inlineStr">
        <is>
          <t>Ana Paula De la Vega</t>
        </is>
      </c>
      <c r="E104" s="16" t="n">
        <v>46224.80256038172</v>
      </c>
      <c r="F104" s="16" t="n">
        <v>46231.62248688995</v>
      </c>
      <c r="G104" s="8" t="n">
        <v>163.7</v>
      </c>
      <c r="H104" s="8" t="n">
        <v>6.8</v>
      </c>
      <c r="I104" s="17" t="inlineStr">
        <is>
          <t>2026-07</t>
        </is>
      </c>
      <c r="J104" s="17" t="n"/>
    </row>
    <row r="105">
      <c r="A105" s="3" t="inlineStr">
        <is>
          <t>INV00020870</t>
        </is>
      </c>
      <c r="B105" s="3" t="inlineStr">
        <is>
          <t>DONE</t>
        </is>
      </c>
      <c r="C105" s="3" t="inlineStr">
        <is>
          <t>NORMAL</t>
        </is>
      </c>
      <c r="D105" s="3" t="inlineStr">
        <is>
          <t>Eduardo Paredes</t>
        </is>
      </c>
      <c r="E105" s="16" t="n">
        <v>46223.86719085493</v>
      </c>
      <c r="F105" s="16" t="n">
        <v>46223.89052063214</v>
      </c>
      <c r="G105" s="8" t="n">
        <v>0.6</v>
      </c>
      <c r="H105" s="8" t="n">
        <v>0</v>
      </c>
      <c r="I105" s="17" t="inlineStr">
        <is>
          <t>2026-07</t>
        </is>
      </c>
      <c r="J105" s="17" t="n"/>
    </row>
    <row r="106">
      <c r="A106" s="3" t="inlineStr">
        <is>
          <t>INV00022383</t>
        </is>
      </c>
      <c r="B106" s="3" t="inlineStr">
        <is>
          <t>DONE</t>
        </is>
      </c>
      <c r="C106" s="3" t="inlineStr">
        <is>
          <t>HIGH PRIORITY</t>
        </is>
      </c>
      <c r="D106" s="3" t="inlineStr">
        <is>
          <t>Ana Paula De la Vega</t>
        </is>
      </c>
      <c r="E106" s="16" t="n">
        <v>46223.73608602756</v>
      </c>
      <c r="F106" s="16" t="n">
        <v>46224.80569372353</v>
      </c>
      <c r="G106" s="8" t="n">
        <v>25.7</v>
      </c>
      <c r="H106" s="8" t="n">
        <v>1.1</v>
      </c>
      <c r="I106" s="17" t="inlineStr">
        <is>
          <t>2026-07</t>
        </is>
      </c>
      <c r="J106" s="17" t="n"/>
    </row>
    <row r="107">
      <c r="A107" s="3" t="inlineStr">
        <is>
          <t>INV00021906</t>
        </is>
      </c>
      <c r="B107" s="3" t="inlineStr">
        <is>
          <t>DONE</t>
        </is>
      </c>
      <c r="C107" s="3" t="inlineStr">
        <is>
          <t>NORMAL</t>
        </is>
      </c>
      <c r="D107" s="3" t="inlineStr">
        <is>
          <t>Paolet Ordóñez</t>
        </is>
      </c>
      <c r="E107" s="16" t="n">
        <v>46220.72756609548</v>
      </c>
      <c r="F107" s="16" t="n">
        <v>46220.88511330402</v>
      </c>
      <c r="G107" s="8" t="n">
        <v>3.8</v>
      </c>
      <c r="H107" s="8" t="n">
        <v>0.2</v>
      </c>
      <c r="I107" s="17" t="inlineStr">
        <is>
          <t>2026-07</t>
        </is>
      </c>
      <c r="J107" s="17" t="n"/>
    </row>
    <row r="108">
      <c r="A108" s="3" t="inlineStr">
        <is>
          <t>INV00017915</t>
        </is>
      </c>
      <c r="B108" s="3" t="inlineStr">
        <is>
          <t>DONE</t>
        </is>
      </c>
      <c r="C108" s="3" t="inlineStr">
        <is>
          <t>NORMAL</t>
        </is>
      </c>
      <c r="D108" s="3" t="inlineStr">
        <is>
          <t>Paolet Ordóñez</t>
        </is>
      </c>
      <c r="E108" s="16" t="n">
        <v>46220.7426670915</v>
      </c>
      <c r="F108" s="16" t="n">
        <v>46220.87836161779</v>
      </c>
      <c r="G108" s="8" t="n">
        <v>3.3</v>
      </c>
      <c r="H108" s="8" t="n">
        <v>0.1</v>
      </c>
      <c r="I108" s="17" t="inlineStr">
        <is>
          <t>2026-07</t>
        </is>
      </c>
      <c r="J108" s="17" t="n"/>
    </row>
    <row r="109">
      <c r="A109" s="3" t="inlineStr">
        <is>
          <t>INV00020919</t>
        </is>
      </c>
      <c r="B109" s="3" t="inlineStr">
        <is>
          <t>DONE</t>
        </is>
      </c>
      <c r="C109" s="3" t="inlineStr">
        <is>
          <t>NORMAL</t>
        </is>
      </c>
      <c r="D109" s="3" t="inlineStr">
        <is>
          <t>Yoseline Pineda</t>
        </is>
      </c>
      <c r="E109" s="16" t="n">
        <v>46220.80034992523</v>
      </c>
      <c r="F109" s="16" t="n">
        <v>46220.84562287926</v>
      </c>
      <c r="G109" s="8" t="n">
        <v>1.1</v>
      </c>
      <c r="H109" s="8" t="n">
        <v>0</v>
      </c>
      <c r="I109" s="17" t="inlineStr">
        <is>
          <t>2026-07</t>
        </is>
      </c>
      <c r="J109" s="17" t="n"/>
    </row>
    <row r="110">
      <c r="A110" s="3" t="inlineStr">
        <is>
          <t>INV00022279</t>
        </is>
      </c>
      <c r="B110" s="3" t="inlineStr">
        <is>
          <t>DONE</t>
        </is>
      </c>
      <c r="C110" s="3" t="inlineStr">
        <is>
          <t>NORMAL</t>
        </is>
      </c>
      <c r="D110" s="3" t="inlineStr">
        <is>
          <t>Alejandra Mendoza 🌸</t>
        </is>
      </c>
      <c r="E110" s="16" t="n">
        <v>46221.00671218447</v>
      </c>
      <c r="F110" s="16" t="n">
        <v>46223.54010563502</v>
      </c>
      <c r="G110" s="8" t="n">
        <v>60.8</v>
      </c>
      <c r="H110" s="8" t="n">
        <v>2.5</v>
      </c>
      <c r="I110" s="17" t="inlineStr">
        <is>
          <t>2026-07</t>
        </is>
      </c>
      <c r="J110" s="17" t="n"/>
    </row>
    <row r="111">
      <c r="A111" s="3" t="inlineStr">
        <is>
          <t>467555</t>
        </is>
      </c>
      <c r="B111" s="3" t="inlineStr">
        <is>
          <t>DONE</t>
        </is>
      </c>
      <c r="C111" s="3" t="inlineStr">
        <is>
          <t>NORMAL</t>
        </is>
      </c>
      <c r="D111" s="3" t="inlineStr">
        <is>
          <t>Diana Escobar</t>
        </is>
      </c>
      <c r="E111" s="16" t="n">
        <v>46220.74675659482</v>
      </c>
      <c r="F111" s="16" t="n">
        <v>46220.86354706574</v>
      </c>
      <c r="G111" s="8" t="n">
        <v>2.8</v>
      </c>
      <c r="H111" s="8" t="n">
        <v>0.1</v>
      </c>
      <c r="I111" s="17" t="inlineStr">
        <is>
          <t>2026-07</t>
        </is>
      </c>
      <c r="J111" s="17" t="n"/>
    </row>
    <row r="112">
      <c r="A112" s="3" t="inlineStr">
        <is>
          <t>INV00023524</t>
        </is>
      </c>
      <c r="B112" s="3" t="inlineStr">
        <is>
          <t>DONE</t>
        </is>
      </c>
      <c r="C112" s="3" t="inlineStr">
        <is>
          <t>NORMAL</t>
        </is>
      </c>
      <c r="D112" s="3" t="inlineStr">
        <is>
          <t>Alejandra Mendoza 🌸</t>
        </is>
      </c>
      <c r="E112" s="16" t="n">
        <v>46219.70002580469</v>
      </c>
      <c r="F112" s="16" t="n">
        <v>46220.84177151706</v>
      </c>
      <c r="G112" s="8" t="n">
        <v>27.4</v>
      </c>
      <c r="H112" s="8" t="n">
        <v>1.1</v>
      </c>
      <c r="I112" s="17" t="inlineStr">
        <is>
          <t>2026-07</t>
        </is>
      </c>
      <c r="J112" s="17" t="n"/>
    </row>
    <row r="113">
      <c r="A113" s="3" t="inlineStr">
        <is>
          <t>INV00022646</t>
        </is>
      </c>
      <c r="B113" s="3" t="inlineStr">
        <is>
          <t>DONE</t>
        </is>
      </c>
      <c r="C113" s="3" t="inlineStr">
        <is>
          <t>NORMAL</t>
        </is>
      </c>
      <c r="D113" s="3" t="inlineStr">
        <is>
          <t>Diana Escobar</t>
        </is>
      </c>
      <c r="E113" s="16" t="n">
        <v>46219.63649239339</v>
      </c>
      <c r="F113" s="16" t="n">
        <v>46219.76692813581</v>
      </c>
      <c r="G113" s="8" t="n">
        <v>3.1</v>
      </c>
      <c r="H113" s="8" t="n">
        <v>0.1</v>
      </c>
      <c r="I113" s="17" t="inlineStr">
        <is>
          <t>2026-07</t>
        </is>
      </c>
      <c r="J113" s="17" t="n"/>
    </row>
    <row r="114">
      <c r="A114" s="3" t="inlineStr">
        <is>
          <t>INV00022892</t>
        </is>
      </c>
      <c r="B114" s="3" t="inlineStr">
        <is>
          <t>DONE</t>
        </is>
      </c>
      <c r="C114" s="3" t="inlineStr">
        <is>
          <t>NORMAL</t>
        </is>
      </c>
      <c r="D114" s="3" t="inlineStr">
        <is>
          <t>Diana Escobar</t>
        </is>
      </c>
      <c r="E114" s="16" t="n">
        <v>46219.61911688445</v>
      </c>
      <c r="F114" s="16" t="n">
        <v>46219.76367061876</v>
      </c>
      <c r="G114" s="8" t="n">
        <v>3.5</v>
      </c>
      <c r="H114" s="8" t="n">
        <v>0.1</v>
      </c>
      <c r="I114" s="17" t="inlineStr">
        <is>
          <t>2026-07</t>
        </is>
      </c>
      <c r="J114" s="17" t="n"/>
    </row>
    <row r="115">
      <c r="A115" s="3" t="inlineStr">
        <is>
          <t>INV00021448</t>
        </is>
      </c>
      <c r="B115" s="3" t="inlineStr">
        <is>
          <t>DONE</t>
        </is>
      </c>
      <c r="C115" s="3" t="inlineStr">
        <is>
          <t>NORMAL</t>
        </is>
      </c>
      <c r="D115" s="3" t="inlineStr">
        <is>
          <t>Diana Escobar</t>
        </is>
      </c>
      <c r="E115" s="16" t="n">
        <v>46219.62532876691</v>
      </c>
      <c r="F115" s="16" t="n">
        <v>46219.76286000739</v>
      </c>
      <c r="G115" s="8" t="n">
        <v>3.3</v>
      </c>
      <c r="H115" s="8" t="n">
        <v>0.1</v>
      </c>
      <c r="I115" s="17" t="inlineStr">
        <is>
          <t>2026-07</t>
        </is>
      </c>
      <c r="J115" s="17" t="n"/>
    </row>
    <row r="116">
      <c r="A116" s="3" t="inlineStr">
        <is>
          <t>INV00021944</t>
        </is>
      </c>
      <c r="B116" s="3" t="inlineStr">
        <is>
          <t>DONE</t>
        </is>
      </c>
      <c r="C116" s="3" t="inlineStr">
        <is>
          <t>NORMAL</t>
        </is>
      </c>
      <c r="D116" s="3" t="inlineStr">
        <is>
          <t>Diana Escobar</t>
        </is>
      </c>
      <c r="E116" s="16" t="n">
        <v>46219.61487707853</v>
      </c>
      <c r="F116" s="16" t="n">
        <v>46219.76213530155</v>
      </c>
      <c r="G116" s="8" t="n">
        <v>3.5</v>
      </c>
      <c r="H116" s="8" t="n">
        <v>0.1</v>
      </c>
      <c r="I116" s="17" t="inlineStr">
        <is>
          <t>2026-07</t>
        </is>
      </c>
      <c r="J116" s="17" t="n"/>
    </row>
    <row r="117">
      <c r="A117" s="3" t="inlineStr">
        <is>
          <t>INV00022162</t>
        </is>
      </c>
      <c r="B117" s="3" t="inlineStr">
        <is>
          <t>DONE</t>
        </is>
      </c>
      <c r="C117" s="3" t="inlineStr">
        <is>
          <t>HIGH PRIORITY</t>
        </is>
      </c>
      <c r="D117" s="3" t="inlineStr">
        <is>
          <t>Alberto Mirón 🦅</t>
        </is>
      </c>
      <c r="E117" s="16" t="n">
        <v>46212.63828539265</v>
      </c>
      <c r="F117" s="16" t="n">
        <v>46231.83297034448</v>
      </c>
      <c r="G117" s="8" t="n">
        <v>460.7</v>
      </c>
      <c r="H117" s="8" t="n">
        <v>19.2</v>
      </c>
      <c r="I117" s="17" t="inlineStr">
        <is>
          <t>2026-07</t>
        </is>
      </c>
      <c r="J117" s="17" t="n"/>
    </row>
    <row r="118">
      <c r="A118" s="3" t="inlineStr">
        <is>
          <t>INV00021450</t>
        </is>
      </c>
      <c r="B118" s="3" t="inlineStr">
        <is>
          <t>DONE</t>
        </is>
      </c>
      <c r="C118" s="3" t="inlineStr">
        <is>
          <t>HIGH PRIORITY</t>
        </is>
      </c>
      <c r="D118" s="3" t="inlineStr">
        <is>
          <t>Ana Paula De la Vega</t>
        </is>
      </c>
      <c r="E118" s="16" t="n">
        <v>46217.8547741577</v>
      </c>
      <c r="F118" s="16" t="n">
        <v>46219.76027857321</v>
      </c>
      <c r="G118" s="8" t="n">
        <v>45.7</v>
      </c>
      <c r="H118" s="8" t="n">
        <v>1.9</v>
      </c>
      <c r="I118" s="17" t="inlineStr">
        <is>
          <t>2026-07</t>
        </is>
      </c>
      <c r="J118" s="17" t="n"/>
    </row>
    <row r="119">
      <c r="A119" s="3" t="inlineStr">
        <is>
          <t>447892</t>
        </is>
      </c>
      <c r="B119" s="3" t="inlineStr">
        <is>
          <t>DONE</t>
        </is>
      </c>
      <c r="C119" s="3" t="inlineStr">
        <is>
          <t>NORMAL</t>
        </is>
      </c>
      <c r="D119" s="3" t="inlineStr">
        <is>
          <t>Marco Guadarrama</t>
        </is>
      </c>
      <c r="E119" s="16" t="n">
        <v>46217.62356329715</v>
      </c>
      <c r="F119" s="16" t="n">
        <v>46217.74308662277</v>
      </c>
      <c r="G119" s="8" t="n">
        <v>2.9</v>
      </c>
      <c r="H119" s="8" t="n">
        <v>0.1</v>
      </c>
      <c r="I119" s="17" t="inlineStr">
        <is>
          <t>2026-07</t>
        </is>
      </c>
      <c r="J119" s="17" t="n"/>
    </row>
    <row r="120">
      <c r="A120" s="3" t="inlineStr">
        <is>
          <t>467819</t>
        </is>
      </c>
      <c r="B120" s="3" t="inlineStr">
        <is>
          <t>DONE</t>
        </is>
      </c>
      <c r="C120" s="3" t="inlineStr">
        <is>
          <t>NORMAL</t>
        </is>
      </c>
      <c r="D120" s="3" t="inlineStr">
        <is>
          <t>Paolet Ordóñez</t>
        </is>
      </c>
      <c r="E120" s="16" t="n">
        <v>46217.61881086374</v>
      </c>
      <c r="F120" s="16" t="n">
        <v>46217.74187562392</v>
      </c>
      <c r="G120" s="8" t="n">
        <v>3</v>
      </c>
      <c r="H120" s="8" t="n">
        <v>0.1</v>
      </c>
      <c r="I120" s="17" t="inlineStr">
        <is>
          <t>2026-07</t>
        </is>
      </c>
      <c r="J120" s="17" t="n"/>
    </row>
    <row r="121">
      <c r="A121" s="3" t="inlineStr">
        <is>
          <t>471125</t>
        </is>
      </c>
      <c r="B121" s="3" t="inlineStr">
        <is>
          <t>DONE</t>
        </is>
      </c>
      <c r="C121" s="3" t="inlineStr">
        <is>
          <t>NORMAL</t>
        </is>
      </c>
      <c r="D121" s="3" t="inlineStr">
        <is>
          <t>Diana Escobar</t>
        </is>
      </c>
      <c r="E121" s="16" t="n">
        <v>46217.67378790302</v>
      </c>
      <c r="F121" s="16" t="n">
        <v>46217.67453995343</v>
      </c>
      <c r="G121" s="8" t="n">
        <v>0</v>
      </c>
      <c r="H121" s="8" t="n">
        <v>0</v>
      </c>
      <c r="I121" s="17" t="inlineStr">
        <is>
          <t>2026-07</t>
        </is>
      </c>
      <c r="J121" s="17" t="n"/>
    </row>
    <row r="122">
      <c r="A122" s="3" t="inlineStr">
        <is>
          <t>452872</t>
        </is>
      </c>
      <c r="B122" s="3" t="inlineStr">
        <is>
          <t>DONE</t>
        </is>
      </c>
      <c r="C122" s="3" t="inlineStr">
        <is>
          <t>NORMAL</t>
        </is>
      </c>
      <c r="D122" s="3" t="inlineStr">
        <is>
          <t>Paolet Ordóñez</t>
        </is>
      </c>
      <c r="E122" s="16" t="n">
        <v>46217.5953375564</v>
      </c>
      <c r="F122" s="16" t="n">
        <v>46217.64108532929</v>
      </c>
      <c r="G122" s="8" t="n">
        <v>1.1</v>
      </c>
      <c r="H122" s="8" t="n">
        <v>0</v>
      </c>
      <c r="I122" s="17" t="inlineStr">
        <is>
          <t>2026-07</t>
        </is>
      </c>
      <c r="J122" s="17" t="n"/>
    </row>
    <row r="123">
      <c r="A123" s="3" t="inlineStr">
        <is>
          <t>INV00020730</t>
        </is>
      </c>
      <c r="B123" s="3" t="inlineStr">
        <is>
          <t>DONE</t>
        </is>
      </c>
      <c r="C123" s="3" t="inlineStr">
        <is>
          <t>HIGH PRIORITY</t>
        </is>
      </c>
      <c r="D123" s="3" t="inlineStr">
        <is>
          <t>Ana Paula De la Vega</t>
        </is>
      </c>
      <c r="E123" s="16" t="n">
        <v>46216.74089874701</v>
      </c>
      <c r="F123" s="16" t="n">
        <v>46217.63659246992</v>
      </c>
      <c r="G123" s="8" t="n">
        <v>21.5</v>
      </c>
      <c r="H123" s="8" t="n">
        <v>0.9</v>
      </c>
      <c r="I123" s="17" t="inlineStr">
        <is>
          <t>2026-07</t>
        </is>
      </c>
      <c r="J123" s="17" t="n"/>
    </row>
    <row r="124">
      <c r="A124" s="3" t="inlineStr">
        <is>
          <t>432477</t>
        </is>
      </c>
      <c r="B124" s="3" t="inlineStr">
        <is>
          <t>DONE</t>
        </is>
      </c>
      <c r="C124" s="3" t="inlineStr">
        <is>
          <t>URGENT</t>
        </is>
      </c>
      <c r="D124" s="3" t="inlineStr">
        <is>
          <t>Ana Paula De la Vega</t>
        </is>
      </c>
      <c r="E124" s="16" t="n">
        <v>46218.54343064546</v>
      </c>
      <c r="F124" s="16" t="n">
        <v>46220.88885868501</v>
      </c>
      <c r="G124" s="8" t="n">
        <v>56.3</v>
      </c>
      <c r="H124" s="8" t="n">
        <v>2.3</v>
      </c>
      <c r="I124" s="17" t="inlineStr">
        <is>
          <t>2026-07</t>
        </is>
      </c>
      <c r="J124" s="17" t="n"/>
    </row>
    <row r="125">
      <c r="A125" s="3" t="inlineStr">
        <is>
          <t>471232</t>
        </is>
      </c>
      <c r="B125" s="3" t="inlineStr">
        <is>
          <t>DONE</t>
        </is>
      </c>
      <c r="C125" s="3" t="inlineStr">
        <is>
          <t>NORMAL</t>
        </is>
      </c>
      <c r="D125" s="3" t="inlineStr">
        <is>
          <t>Diana Escobar</t>
        </is>
      </c>
      <c r="E125" s="16" t="n">
        <v>46216.82483230504</v>
      </c>
      <c r="F125" s="16" t="n">
        <v>46217.63726416809</v>
      </c>
      <c r="G125" s="8" t="n">
        <v>19.5</v>
      </c>
      <c r="H125" s="8" t="n">
        <v>0.8</v>
      </c>
      <c r="I125" s="17" t="inlineStr">
        <is>
          <t>2026-07</t>
        </is>
      </c>
      <c r="J125" s="17" t="n"/>
    </row>
    <row r="126">
      <c r="A126" s="3" t="inlineStr">
        <is>
          <t>INV00022431</t>
        </is>
      </c>
      <c r="B126" s="3" t="inlineStr">
        <is>
          <t>DONE</t>
        </is>
      </c>
      <c r="C126" s="3" t="inlineStr">
        <is>
          <t>NORMAL</t>
        </is>
      </c>
      <c r="D126" s="3" t="inlineStr">
        <is>
          <t>Elideth Peña</t>
        </is>
      </c>
      <c r="E126" s="16" t="n">
        <v>46216.60073761459</v>
      </c>
      <c r="F126" s="16" t="n">
        <v>46217.63430911803</v>
      </c>
      <c r="G126" s="8" t="n">
        <v>24.8</v>
      </c>
      <c r="H126" s="8" t="n">
        <v>1</v>
      </c>
      <c r="I126" s="17" t="inlineStr">
        <is>
          <t>2026-07</t>
        </is>
      </c>
      <c r="J126" s="17" t="n"/>
    </row>
    <row r="127">
      <c r="A127" s="3" t="inlineStr"/>
      <c r="B127" s="3" t="inlineStr">
        <is>
          <t>DONE</t>
        </is>
      </c>
      <c r="C127" s="3" t="inlineStr">
        <is>
          <t>URGENT</t>
        </is>
      </c>
      <c r="D127" s="3" t="inlineStr">
        <is>
          <t>Ana Paula De la Vega</t>
        </is>
      </c>
      <c r="E127" s="16" t="n">
        <v>46216.84080225309</v>
      </c>
      <c r="F127" s="16" t="n">
        <v>46217.63817713207</v>
      </c>
      <c r="G127" s="8" t="n">
        <v>19.1</v>
      </c>
      <c r="H127" s="8" t="n">
        <v>0.8</v>
      </c>
      <c r="I127" s="17" t="inlineStr">
        <is>
          <t>2026-07</t>
        </is>
      </c>
      <c r="J127" s="17" t="n"/>
    </row>
    <row r="128">
      <c r="A128" s="3" t="inlineStr">
        <is>
          <t>INV00022097</t>
        </is>
      </c>
      <c r="B128" s="3" t="inlineStr">
        <is>
          <t>DONE</t>
        </is>
      </c>
      <c r="C128" s="3" t="inlineStr">
        <is>
          <t>NORMAL</t>
        </is>
      </c>
      <c r="D128" s="3" t="inlineStr">
        <is>
          <t>Eduardo Paredes</t>
        </is>
      </c>
      <c r="E128" s="16" t="n">
        <v>46213.60659449061</v>
      </c>
      <c r="F128" s="16" t="n">
        <v>46213.72770077633</v>
      </c>
      <c r="G128" s="8" t="n">
        <v>2.9</v>
      </c>
      <c r="H128" s="8" t="n">
        <v>0.1</v>
      </c>
      <c r="I128" s="17" t="inlineStr">
        <is>
          <t>2026-07</t>
        </is>
      </c>
      <c r="J128" s="17" t="n"/>
    </row>
    <row r="129">
      <c r="A129" s="3" t="inlineStr">
        <is>
          <t>456907</t>
        </is>
      </c>
      <c r="B129" s="3" t="inlineStr">
        <is>
          <t>DONE</t>
        </is>
      </c>
      <c r="C129" s="3" t="inlineStr">
        <is>
          <t>NORMAL</t>
        </is>
      </c>
      <c r="D129" s="3" t="inlineStr">
        <is>
          <t>Marco Guadarrama</t>
        </is>
      </c>
      <c r="E129" s="16" t="n">
        <v>46212.67791451125</v>
      </c>
      <c r="F129" s="16" t="n">
        <v>46216.78941288136</v>
      </c>
      <c r="G129" s="8" t="n">
        <v>98.7</v>
      </c>
      <c r="H129" s="8" t="n">
        <v>4.1</v>
      </c>
      <c r="I129" s="17" t="inlineStr">
        <is>
          <t>2026-07</t>
        </is>
      </c>
      <c r="J129" s="17" t="n"/>
    </row>
    <row r="130">
      <c r="A130" s="3" t="inlineStr">
        <is>
          <t>INV00022385</t>
        </is>
      </c>
      <c r="B130" s="3" t="inlineStr">
        <is>
          <t>DONE</t>
        </is>
      </c>
      <c r="C130" s="3" t="inlineStr">
        <is>
          <t>HIGH PRIORITY</t>
        </is>
      </c>
      <c r="D130" s="3" t="inlineStr">
        <is>
          <t>Alejandra Mendoza 🌸</t>
        </is>
      </c>
      <c r="E130" s="16" t="n">
        <v>46211.74627196138</v>
      </c>
      <c r="F130" s="16" t="n">
        <v>46212.74390277139</v>
      </c>
      <c r="G130" s="8" t="n">
        <v>23.9</v>
      </c>
      <c r="H130" s="8" t="n">
        <v>1</v>
      </c>
      <c r="I130" s="17" t="inlineStr">
        <is>
          <t>2026-07</t>
        </is>
      </c>
      <c r="J130" s="17" t="n"/>
    </row>
    <row r="131">
      <c r="A131" s="3" t="inlineStr">
        <is>
          <t>INV00020144</t>
        </is>
      </c>
      <c r="B131" s="3" t="inlineStr">
        <is>
          <t>DONE</t>
        </is>
      </c>
      <c r="C131" s="3" t="inlineStr">
        <is>
          <t>URGENT</t>
        </is>
      </c>
      <c r="D131" s="3" t="inlineStr">
        <is>
          <t>Ana Paula De la Vega</t>
        </is>
      </c>
      <c r="E131" s="16" t="n">
        <v>46212.77452764394</v>
      </c>
      <c r="F131" s="16" t="n">
        <v>46212.78606737963</v>
      </c>
      <c r="G131" s="8" t="n">
        <v>0.3</v>
      </c>
      <c r="H131" s="8" t="n">
        <v>0</v>
      </c>
      <c r="I131" s="17" t="inlineStr">
        <is>
          <t>2026-07</t>
        </is>
      </c>
      <c r="J131" s="17" t="n"/>
    </row>
    <row r="132">
      <c r="A132" s="3" t="inlineStr">
        <is>
          <t>INV00022011</t>
        </is>
      </c>
      <c r="B132" s="3" t="inlineStr">
        <is>
          <t>DONE</t>
        </is>
      </c>
      <c r="C132" s="3" t="inlineStr">
        <is>
          <t>NORMAL</t>
        </is>
      </c>
      <c r="D132" s="3" t="inlineStr">
        <is>
          <t>Elideth Peña</t>
        </is>
      </c>
      <c r="E132" s="16" t="n">
        <v>46210.8710137372</v>
      </c>
      <c r="F132" s="16" t="n">
        <v>46211.73073202594</v>
      </c>
      <c r="G132" s="8" t="n">
        <v>20.6</v>
      </c>
      <c r="H132" s="8" t="n">
        <v>0.9</v>
      </c>
      <c r="I132" s="17" t="inlineStr">
        <is>
          <t>2026-07</t>
        </is>
      </c>
      <c r="J132" s="17" t="n"/>
    </row>
    <row r="133">
      <c r="A133" s="3" t="inlineStr">
        <is>
          <t>INV00022531</t>
        </is>
      </c>
      <c r="B133" s="3" t="inlineStr">
        <is>
          <t>DONE</t>
        </is>
      </c>
      <c r="C133" s="3" t="inlineStr">
        <is>
          <t>NORMAL</t>
        </is>
      </c>
      <c r="D133" s="3" t="inlineStr">
        <is>
          <t>Fernanda Sánchez</t>
        </is>
      </c>
      <c r="E133" s="16" t="n">
        <v>46210.80886470367</v>
      </c>
      <c r="F133" s="16" t="n">
        <v>46210.82967029476</v>
      </c>
      <c r="G133" s="8" t="n">
        <v>0.5</v>
      </c>
      <c r="H133" s="8" t="n">
        <v>0</v>
      </c>
      <c r="I133" s="17" t="inlineStr">
        <is>
          <t>2026-07</t>
        </is>
      </c>
      <c r="J133" s="17" t="n"/>
    </row>
    <row r="134">
      <c r="A134" s="3" t="inlineStr">
        <is>
          <t>QILNEW2140</t>
        </is>
      </c>
      <c r="B134" s="3" t="inlineStr">
        <is>
          <t>DONE</t>
        </is>
      </c>
      <c r="C134" s="3" t="inlineStr">
        <is>
          <t>URGENT</t>
        </is>
      </c>
      <c r="D134" s="3" t="inlineStr">
        <is>
          <t>Ana Paula De la Vega</t>
        </is>
      </c>
      <c r="E134" s="16" t="n">
        <v>46211.72163238917</v>
      </c>
      <c r="F134" s="16" t="n">
        <v>46211.7394211636</v>
      </c>
      <c r="G134" s="8" t="n">
        <v>0.4</v>
      </c>
      <c r="H134" s="8" t="n">
        <v>0</v>
      </c>
      <c r="I134" s="17" t="inlineStr">
        <is>
          <t>2026-07</t>
        </is>
      </c>
      <c r="J134" s="17" t="n"/>
    </row>
    <row r="135">
      <c r="A135" s="3" t="inlineStr">
        <is>
          <t>471154</t>
        </is>
      </c>
      <c r="B135" s="3" t="inlineStr">
        <is>
          <t>DONE</t>
        </is>
      </c>
      <c r="C135" s="3" t="inlineStr">
        <is>
          <t>HIGH PRIORITY</t>
        </is>
      </c>
      <c r="D135" s="3" t="inlineStr">
        <is>
          <t>Ana Paula De la Vega</t>
        </is>
      </c>
      <c r="E135" s="16" t="n">
        <v>46210.65793443667</v>
      </c>
      <c r="F135" s="16" t="n">
        <v>46210.84278548067</v>
      </c>
      <c r="G135" s="8" t="n">
        <v>4.4</v>
      </c>
      <c r="H135" s="8" t="n">
        <v>0.2</v>
      </c>
      <c r="I135" s="17" t="inlineStr">
        <is>
          <t>2026-07</t>
        </is>
      </c>
      <c r="J135" s="17" t="n"/>
    </row>
    <row r="136">
      <c r="A136" s="3" t="inlineStr">
        <is>
          <t>469486</t>
        </is>
      </c>
      <c r="B136" s="3" t="inlineStr">
        <is>
          <t>DONE</t>
        </is>
      </c>
      <c r="C136" s="3" t="inlineStr">
        <is>
          <t>NORMAL</t>
        </is>
      </c>
      <c r="D136" s="3" t="inlineStr">
        <is>
          <t>Diana Escobar</t>
        </is>
      </c>
      <c r="E136" s="16" t="n">
        <v>46209.66323334786</v>
      </c>
      <c r="F136" s="16" t="n">
        <v>46209.84361069903</v>
      </c>
      <c r="G136" s="8" t="n">
        <v>4.3</v>
      </c>
      <c r="H136" s="8" t="n">
        <v>0.2</v>
      </c>
      <c r="I136" s="17" t="inlineStr">
        <is>
          <t>2026-07</t>
        </is>
      </c>
      <c r="J136" s="17" t="n"/>
    </row>
    <row r="137">
      <c r="A137" s="3" t="inlineStr">
        <is>
          <t>INV00021710</t>
        </is>
      </c>
      <c r="B137" s="3" t="inlineStr">
        <is>
          <t>DONE</t>
        </is>
      </c>
      <c r="C137" s="3" t="inlineStr">
        <is>
          <t>HIGH PRIORITY</t>
        </is>
      </c>
      <c r="D137" s="3" t="inlineStr">
        <is>
          <t>Ana Paula De la Vega</t>
        </is>
      </c>
      <c r="E137" s="16" t="n">
        <v>46209.81863154849</v>
      </c>
      <c r="F137" s="16" t="n">
        <v>46224.80852669051</v>
      </c>
      <c r="G137" s="8" t="n">
        <v>359.8</v>
      </c>
      <c r="H137" s="8" t="n">
        <v>15</v>
      </c>
      <c r="I137" s="17" t="inlineStr">
        <is>
          <t>2026-07</t>
        </is>
      </c>
      <c r="J137" s="17" t="n"/>
    </row>
    <row r="138">
      <c r="A138" s="3" t="inlineStr">
        <is>
          <t>INV00020573</t>
        </is>
      </c>
      <c r="B138" s="3" t="inlineStr">
        <is>
          <t>DONE</t>
        </is>
      </c>
      <c r="C138" s="3" t="inlineStr">
        <is>
          <t>URGENT</t>
        </is>
      </c>
      <c r="D138" s="3" t="inlineStr">
        <is>
          <t>Ana Paula De la Vega</t>
        </is>
      </c>
      <c r="E138" s="16" t="n">
        <v>46196.72891260724</v>
      </c>
      <c r="F138" s="16" t="n">
        <v>46213.75111908231</v>
      </c>
      <c r="G138" s="8" t="n">
        <v>408.5</v>
      </c>
      <c r="H138" s="8" t="n">
        <v>17</v>
      </c>
      <c r="I138" s="17" t="inlineStr">
        <is>
          <t>2026-06</t>
        </is>
      </c>
      <c r="J138" s="17" t="n"/>
    </row>
    <row r="139">
      <c r="A139" s="3" t="inlineStr">
        <is>
          <t>INV00022301</t>
        </is>
      </c>
      <c r="B139" s="3" t="inlineStr">
        <is>
          <t>DONE</t>
        </is>
      </c>
      <c r="C139" s="3" t="inlineStr">
        <is>
          <t>HIGH PRIORITY</t>
        </is>
      </c>
      <c r="D139" s="3" t="inlineStr">
        <is>
          <t>Yoseline Pineda</t>
        </is>
      </c>
      <c r="E139" s="16" t="n">
        <v>46209.64204342223</v>
      </c>
      <c r="F139" s="16" t="n">
        <v>46209.84728265768</v>
      </c>
      <c r="G139" s="8" t="n">
        <v>4.9</v>
      </c>
      <c r="H139" s="8" t="n">
        <v>0.2</v>
      </c>
      <c r="I139" s="17" t="inlineStr">
        <is>
          <t>2026-07</t>
        </is>
      </c>
      <c r="J139" s="17" t="n"/>
    </row>
    <row r="140">
      <c r="A140" s="3" t="inlineStr">
        <is>
          <t>INV00020689</t>
        </is>
      </c>
      <c r="B140" s="3" t="inlineStr">
        <is>
          <t>DONE</t>
        </is>
      </c>
      <c r="C140" s="3" t="inlineStr">
        <is>
          <t>NORMAL</t>
        </is>
      </c>
      <c r="D140" s="3" t="inlineStr">
        <is>
          <t>Julieta Partido</t>
        </is>
      </c>
      <c r="E140" s="16" t="n">
        <v>46204.86876578792</v>
      </c>
      <c r="F140" s="16" t="n">
        <v>46205.64941771729</v>
      </c>
      <c r="G140" s="8" t="n">
        <v>18.7</v>
      </c>
      <c r="H140" s="8" t="n">
        <v>0.8</v>
      </c>
      <c r="I140" s="17" t="inlineStr">
        <is>
          <t>2026-07</t>
        </is>
      </c>
      <c r="J140" s="17" t="n"/>
    </row>
    <row r="141">
      <c r="A141" s="3" t="inlineStr">
        <is>
          <t>INV00020365</t>
        </is>
      </c>
      <c r="B141" s="3" t="inlineStr">
        <is>
          <t>DONE</t>
        </is>
      </c>
      <c r="C141" s="3" t="inlineStr">
        <is>
          <t>NORMAL</t>
        </is>
      </c>
      <c r="D141" s="3" t="inlineStr">
        <is>
          <t>Yoseline Pineda</t>
        </is>
      </c>
      <c r="E141" s="16" t="n">
        <v>46204.72163464745</v>
      </c>
      <c r="F141" s="16" t="n">
        <v>46231.73748780883</v>
      </c>
      <c r="G141" s="8" t="n">
        <v>648.4</v>
      </c>
      <c r="H141" s="8" t="n">
        <v>27</v>
      </c>
      <c r="I141" s="17" t="inlineStr">
        <is>
          <t>2026-07</t>
        </is>
      </c>
      <c r="J141" s="17" t="n"/>
    </row>
    <row r="142">
      <c r="A142" s="3" t="inlineStr">
        <is>
          <t>470213</t>
        </is>
      </c>
      <c r="B142" s="3" t="inlineStr">
        <is>
          <t>DONE</t>
        </is>
      </c>
      <c r="C142" s="3" t="inlineStr">
        <is>
          <t>NORMAL</t>
        </is>
      </c>
      <c r="D142" s="3" t="inlineStr">
        <is>
          <t>Marco Guadarrama</t>
        </is>
      </c>
      <c r="E142" s="16" t="n">
        <v>46205.62496215142</v>
      </c>
      <c r="F142" s="16" t="n">
        <v>46205.64587144262</v>
      </c>
      <c r="G142" s="8" t="n">
        <v>0.5</v>
      </c>
      <c r="H142" s="8" t="n">
        <v>0</v>
      </c>
      <c r="I142" s="17" t="inlineStr">
        <is>
          <t>2026-07</t>
        </is>
      </c>
      <c r="J142" s="17" t="n"/>
    </row>
    <row r="143">
      <c r="A143" s="3" t="inlineStr">
        <is>
          <t>465076</t>
        </is>
      </c>
      <c r="B143" s="3" t="inlineStr">
        <is>
          <t>DONE</t>
        </is>
      </c>
      <c r="C143" s="3" t="inlineStr">
        <is>
          <t>NORMAL</t>
        </is>
      </c>
      <c r="D143" s="3" t="inlineStr">
        <is>
          <t>Daniel Osorio</t>
        </is>
      </c>
      <c r="E143" s="16" t="n">
        <v>46203.94529200086</v>
      </c>
      <c r="F143" s="16" t="n">
        <v>46204.84229998098</v>
      </c>
      <c r="G143" s="8" t="n">
        <v>21.5</v>
      </c>
      <c r="H143" s="8" t="n">
        <v>0.9</v>
      </c>
      <c r="I143" s="17" t="inlineStr">
        <is>
          <t>2026-06</t>
        </is>
      </c>
      <c r="J143" s="17" t="n"/>
    </row>
    <row r="144">
      <c r="A144" s="3" t="inlineStr">
        <is>
          <t>467820</t>
        </is>
      </c>
      <c r="B144" s="3" t="inlineStr">
        <is>
          <t>DONE</t>
        </is>
      </c>
      <c r="C144" s="3" t="inlineStr">
        <is>
          <t>NORMAL</t>
        </is>
      </c>
      <c r="D144" s="3" t="inlineStr">
        <is>
          <t>Paolet Ordóñez</t>
        </is>
      </c>
      <c r="E144" s="16" t="n">
        <v>46203.64193432164</v>
      </c>
      <c r="F144" s="16" t="n">
        <v>46203.82093931078</v>
      </c>
      <c r="G144" s="8" t="n">
        <v>4.3</v>
      </c>
      <c r="H144" s="8" t="n">
        <v>0.2</v>
      </c>
      <c r="I144" s="17" t="inlineStr">
        <is>
          <t>2026-06</t>
        </is>
      </c>
      <c r="J144" s="17" t="n"/>
    </row>
    <row r="145">
      <c r="A145" s="3" t="inlineStr">
        <is>
          <t>INV00020315</t>
        </is>
      </c>
      <c r="B145" s="3" t="inlineStr">
        <is>
          <t>DONE</t>
        </is>
      </c>
      <c r="C145" s="3" t="inlineStr">
        <is>
          <t>HIGH PRIORITY</t>
        </is>
      </c>
      <c r="D145" s="3" t="inlineStr">
        <is>
          <t>Ana Paula De la Vega</t>
        </is>
      </c>
      <c r="E145" s="16" t="n">
        <v>46204.79045214867</v>
      </c>
      <c r="F145" s="16" t="n">
        <v>46205.65744567044</v>
      </c>
      <c r="G145" s="8" t="n">
        <v>20.8</v>
      </c>
      <c r="H145" s="8" t="n">
        <v>0.9</v>
      </c>
      <c r="I145" s="17" t="inlineStr">
        <is>
          <t>2026-07</t>
        </is>
      </c>
      <c r="J145" s="17" t="n"/>
    </row>
    <row r="146">
      <c r="A146" s="3" t="inlineStr">
        <is>
          <t>INV00021769</t>
        </is>
      </c>
      <c r="B146" s="3" t="inlineStr">
        <is>
          <t>DONE</t>
        </is>
      </c>
      <c r="C146" s="3" t="inlineStr">
        <is>
          <t>NORMAL</t>
        </is>
      </c>
      <c r="D146" s="3" t="inlineStr">
        <is>
          <t>Alejandra Mendoza 🌸</t>
        </is>
      </c>
      <c r="E146" s="16" t="n">
        <v>46202.69579754198</v>
      </c>
      <c r="F146" s="16" t="n">
        <v>46202.83728749943</v>
      </c>
      <c r="G146" s="8" t="n">
        <v>3.4</v>
      </c>
      <c r="H146" s="8" t="n">
        <v>0.1</v>
      </c>
      <c r="I146" s="17" t="inlineStr">
        <is>
          <t>2026-06</t>
        </is>
      </c>
      <c r="J146" s="17" t="n"/>
    </row>
    <row r="147">
      <c r="A147" s="3" t="inlineStr">
        <is>
          <t>470592</t>
        </is>
      </c>
      <c r="B147" s="3" t="inlineStr">
        <is>
          <t>DONE</t>
        </is>
      </c>
      <c r="C147" s="3" t="inlineStr">
        <is>
          <t>HIGH PRIORITY</t>
        </is>
      </c>
      <c r="D147" s="3" t="inlineStr">
        <is>
          <t>Efraín Córdova</t>
        </is>
      </c>
      <c r="E147" s="16" t="n">
        <v>46203.11301258834</v>
      </c>
      <c r="F147" s="16" t="n">
        <v>46217.7765180369</v>
      </c>
      <c r="G147" s="8" t="n">
        <v>351.9</v>
      </c>
      <c r="H147" s="8" t="n">
        <v>14.7</v>
      </c>
      <c r="I147" s="17" t="inlineStr">
        <is>
          <t>2026-06</t>
        </is>
      </c>
      <c r="J147" s="17" t="n"/>
    </row>
    <row r="148">
      <c r="A148" s="3" t="inlineStr">
        <is>
          <t>469991</t>
        </is>
      </c>
      <c r="B148" s="3" t="inlineStr">
        <is>
          <t>DONE</t>
        </is>
      </c>
      <c r="C148" s="3" t="inlineStr">
        <is>
          <t>NORMAL</t>
        </is>
      </c>
      <c r="D148" s="3" t="inlineStr">
        <is>
          <t>Raúl Pérez</t>
        </is>
      </c>
      <c r="E148" s="16" t="n">
        <v>46195.97356929279</v>
      </c>
      <c r="F148" s="16" t="n">
        <v>46217.77278026023</v>
      </c>
      <c r="G148" s="8" t="n">
        <v>523.2</v>
      </c>
      <c r="H148" s="8" t="n">
        <v>21.8</v>
      </c>
      <c r="I148" s="17" t="inlineStr">
        <is>
          <t>2026-06</t>
        </is>
      </c>
      <c r="J148" s="17" t="n"/>
    </row>
    <row r="149">
      <c r="A149" s="3" t="inlineStr">
        <is>
          <t>INV00020134</t>
        </is>
      </c>
      <c r="B149" s="3" t="inlineStr">
        <is>
          <t>DONE</t>
        </is>
      </c>
      <c r="C149" s="3" t="inlineStr">
        <is>
          <t>HIGH PRIORITY</t>
        </is>
      </c>
      <c r="D149" s="3" t="inlineStr">
        <is>
          <t>Ana Paula De la Vega</t>
        </is>
      </c>
      <c r="E149" s="16" t="n">
        <v>46202.79989381217</v>
      </c>
      <c r="F149" s="16" t="n">
        <v>46202.83940027912</v>
      </c>
      <c r="G149" s="8" t="n">
        <v>0.9</v>
      </c>
      <c r="H149" s="8" t="n">
        <v>0</v>
      </c>
      <c r="I149" s="17" t="inlineStr">
        <is>
          <t>2026-06</t>
        </is>
      </c>
      <c r="J149" s="17" t="n"/>
    </row>
    <row r="150">
      <c r="A150" s="3" t="inlineStr">
        <is>
          <t>INV00020226</t>
        </is>
      </c>
      <c r="B150" s="3" t="inlineStr">
        <is>
          <t>DONE</t>
        </is>
      </c>
      <c r="C150" s="3" t="inlineStr">
        <is>
          <t>HIGH PRIORITY</t>
        </is>
      </c>
      <c r="D150" s="3" t="inlineStr">
        <is>
          <t>Ana Paula De la Vega</t>
        </is>
      </c>
      <c r="E150" s="16" t="n">
        <v>46199.67745216745</v>
      </c>
      <c r="F150" s="16" t="n">
        <v>46202.81941302897</v>
      </c>
      <c r="G150" s="8" t="n">
        <v>75.40000000000001</v>
      </c>
      <c r="H150" s="8" t="n">
        <v>3.1</v>
      </c>
      <c r="I150" s="17" t="inlineStr">
        <is>
          <t>2026-06</t>
        </is>
      </c>
      <c r="J150" s="17" t="n"/>
    </row>
    <row r="151">
      <c r="A151" s="3" t="inlineStr"/>
      <c r="B151" s="3" t="inlineStr">
        <is>
          <t>DONE</t>
        </is>
      </c>
      <c r="C151" s="3" t="inlineStr">
        <is>
          <t>NORMAL</t>
        </is>
      </c>
      <c r="D151" s="3" t="inlineStr">
        <is>
          <t>Eduardo Paredes</t>
        </is>
      </c>
      <c r="E151" s="16" t="n">
        <v>46196.83332430898</v>
      </c>
      <c r="F151" s="16" t="n">
        <v>46198.84389672196</v>
      </c>
      <c r="G151" s="8" t="n">
        <v>48.3</v>
      </c>
      <c r="H151" s="8" t="n">
        <v>2</v>
      </c>
      <c r="I151" s="17" t="inlineStr">
        <is>
          <t>2026-06</t>
        </is>
      </c>
      <c r="J151" s="17" t="n"/>
    </row>
    <row r="152">
      <c r="A152" s="3" t="inlineStr">
        <is>
          <t>470084</t>
        </is>
      </c>
      <c r="B152" s="3" t="inlineStr">
        <is>
          <t>DONE</t>
        </is>
      </c>
      <c r="C152" s="3" t="inlineStr">
        <is>
          <t>URGENT</t>
        </is>
      </c>
      <c r="D152" s="3" t="inlineStr">
        <is>
          <t>Ana Paula De la Vega</t>
        </is>
      </c>
      <c r="E152" s="16" t="n">
        <v>46177.54918278415</v>
      </c>
      <c r="F152" s="16" t="n">
        <v>46195.7762810151</v>
      </c>
      <c r="G152" s="8" t="n">
        <v>437.5</v>
      </c>
      <c r="H152" s="8" t="n">
        <v>18.2</v>
      </c>
      <c r="I152" s="17" t="inlineStr">
        <is>
          <t>2026-06</t>
        </is>
      </c>
      <c r="J152" s="17" t="n"/>
    </row>
    <row r="153">
      <c r="A153" s="3" t="inlineStr">
        <is>
          <t>456127</t>
        </is>
      </c>
      <c r="B153" s="3" t="inlineStr">
        <is>
          <t>DONE</t>
        </is>
      </c>
      <c r="C153" s="3" t="inlineStr">
        <is>
          <t>URGENT</t>
        </is>
      </c>
      <c r="D153" s="3" t="inlineStr">
        <is>
          <t>Ana Paula De la Vega</t>
        </is>
      </c>
      <c r="E153" s="16" t="n">
        <v>46195.66141001311</v>
      </c>
      <c r="F153" s="16" t="n">
        <v>46195.77015380142</v>
      </c>
      <c r="G153" s="8" t="n">
        <v>2.6</v>
      </c>
      <c r="H153" s="8" t="n">
        <v>0.1</v>
      </c>
      <c r="I153" s="17" t="inlineStr">
        <is>
          <t>2026-06</t>
        </is>
      </c>
      <c r="J153" s="17" t="n"/>
    </row>
    <row r="154">
      <c r="A154" s="3" t="inlineStr">
        <is>
          <t>QILNEW1915</t>
        </is>
      </c>
      <c r="B154" s="3" t="inlineStr">
        <is>
          <t>DONE</t>
        </is>
      </c>
      <c r="C154" s="3" t="inlineStr">
        <is>
          <t>NORMAL</t>
        </is>
      </c>
      <c r="D154" s="3" t="inlineStr">
        <is>
          <t>Alejandra Mendoza 🌸</t>
        </is>
      </c>
      <c r="E154" s="16" t="n">
        <v>46188.67011340013</v>
      </c>
      <c r="F154" s="16" t="n">
        <v>46188.86476890658</v>
      </c>
      <c r="G154" s="8" t="n">
        <v>4.7</v>
      </c>
      <c r="H154" s="8" t="n">
        <v>0.2</v>
      </c>
      <c r="I154" s="17" t="inlineStr">
        <is>
          <t>2026-06</t>
        </is>
      </c>
      <c r="J154" s="17" t="n"/>
    </row>
    <row r="155">
      <c r="A155" s="3" t="inlineStr">
        <is>
          <t>467505</t>
        </is>
      </c>
      <c r="B155" s="3" t="inlineStr">
        <is>
          <t>DONE</t>
        </is>
      </c>
      <c r="C155" s="3" t="inlineStr">
        <is>
          <t>NORMAL</t>
        </is>
      </c>
      <c r="D155" s="3" t="inlineStr">
        <is>
          <t>Paolet Ordóñez</t>
        </is>
      </c>
      <c r="E155" s="16" t="n">
        <v>46185.69637456743</v>
      </c>
      <c r="F155" s="16" t="n">
        <v>46188.71058811164</v>
      </c>
      <c r="G155" s="8" t="n">
        <v>72.3</v>
      </c>
      <c r="H155" s="8" t="n">
        <v>3</v>
      </c>
      <c r="I155" s="17" t="inlineStr">
        <is>
          <t>2026-06</t>
        </is>
      </c>
      <c r="J155" s="17" t="n"/>
    </row>
    <row r="156">
      <c r="A156" s="3" t="inlineStr">
        <is>
          <t>469776</t>
        </is>
      </c>
      <c r="B156" s="3" t="inlineStr">
        <is>
          <t>DONE</t>
        </is>
      </c>
      <c r="C156" s="3" t="inlineStr">
        <is>
          <t>NORMAL</t>
        </is>
      </c>
      <c r="D156" s="3" t="inlineStr">
        <is>
          <t>Yoseline Pineda</t>
        </is>
      </c>
      <c r="E156" s="16" t="n">
        <v>46185.72121102844</v>
      </c>
      <c r="F156" s="16" t="n">
        <v>46188.71660968022</v>
      </c>
      <c r="G156" s="8" t="n">
        <v>71.90000000000001</v>
      </c>
      <c r="H156" s="8" t="n">
        <v>3</v>
      </c>
      <c r="I156" s="17" t="inlineStr">
        <is>
          <t>2026-06</t>
        </is>
      </c>
      <c r="J156" s="17" t="n"/>
    </row>
    <row r="157">
      <c r="A157" s="3" t="inlineStr">
        <is>
          <t>INV00020168</t>
        </is>
      </c>
      <c r="B157" s="3" t="inlineStr">
        <is>
          <t>DONE</t>
        </is>
      </c>
      <c r="C157" s="3" t="inlineStr">
        <is>
          <t>NORMAL</t>
        </is>
      </c>
      <c r="D157" s="3" t="inlineStr">
        <is>
          <t>Alberto Mirón 🦅</t>
        </is>
      </c>
      <c r="E157" s="16" t="n">
        <v>46183.77345959763</v>
      </c>
      <c r="F157" s="16" t="n">
        <v>46224.80185417578</v>
      </c>
      <c r="G157" s="8" t="n">
        <v>984.7</v>
      </c>
      <c r="H157" s="8" t="n">
        <v>41</v>
      </c>
      <c r="I157" s="17" t="inlineStr">
        <is>
          <t>2026-06</t>
        </is>
      </c>
      <c r="J157" s="17" t="n"/>
    </row>
    <row r="158">
      <c r="A158" s="3" t="inlineStr">
        <is>
          <t>469481</t>
        </is>
      </c>
      <c r="B158" s="3" t="inlineStr">
        <is>
          <t>DONE</t>
        </is>
      </c>
      <c r="C158" s="3" t="inlineStr">
        <is>
          <t>URGENT</t>
        </is>
      </c>
      <c r="D158" s="3" t="inlineStr">
        <is>
          <t>Yoseline Pineda</t>
        </is>
      </c>
      <c r="E158" s="16" t="n">
        <v>46185.75831554564</v>
      </c>
      <c r="F158" s="16" t="n">
        <v>46188.72883990724</v>
      </c>
      <c r="G158" s="8" t="n">
        <v>71.3</v>
      </c>
      <c r="H158" s="8" t="n">
        <v>3</v>
      </c>
      <c r="I158" s="17" t="inlineStr">
        <is>
          <t>2026-06</t>
        </is>
      </c>
      <c r="J158" s="17" t="n"/>
    </row>
    <row r="159">
      <c r="A159" s="3" t="inlineStr">
        <is>
          <t>469481</t>
        </is>
      </c>
      <c r="B159" s="3" t="inlineStr">
        <is>
          <t>DONE</t>
        </is>
      </c>
      <c r="C159" s="3" t="inlineStr">
        <is>
          <t>URGENT</t>
        </is>
      </c>
      <c r="D159" s="3" t="inlineStr">
        <is>
          <t>Yoseline Pineda</t>
        </is>
      </c>
      <c r="E159" s="16" t="n">
        <v>46185.75774636136</v>
      </c>
      <c r="F159" s="16" t="n">
        <v>46188.72765694554</v>
      </c>
      <c r="G159" s="8" t="n">
        <v>71.3</v>
      </c>
      <c r="H159" s="8" t="n">
        <v>3</v>
      </c>
      <c r="I159" s="17" t="inlineStr">
        <is>
          <t>2026-06</t>
        </is>
      </c>
      <c r="J159" s="17" t="n"/>
    </row>
    <row r="160">
      <c r="A160" s="3" t="inlineStr">
        <is>
          <t>469481</t>
        </is>
      </c>
      <c r="B160" s="3" t="inlineStr">
        <is>
          <t>DONE</t>
        </is>
      </c>
      <c r="C160" s="3" t="inlineStr">
        <is>
          <t>URGENT</t>
        </is>
      </c>
      <c r="D160" s="3" t="inlineStr">
        <is>
          <t>Yoseline Pineda</t>
        </is>
      </c>
      <c r="E160" s="16" t="n">
        <v>46185.75703402786</v>
      </c>
      <c r="F160" s="16" t="n">
        <v>46188.72630925923</v>
      </c>
      <c r="G160" s="8" t="n">
        <v>71.3</v>
      </c>
      <c r="H160" s="8" t="n">
        <v>3</v>
      </c>
      <c r="I160" s="17" t="inlineStr">
        <is>
          <t>2026-06</t>
        </is>
      </c>
      <c r="J160" s="17" t="n"/>
    </row>
    <row r="161">
      <c r="A161" s="3" t="inlineStr">
        <is>
          <t>469481</t>
        </is>
      </c>
      <c r="B161" s="3" t="inlineStr">
        <is>
          <t>DONE</t>
        </is>
      </c>
      <c r="C161" s="3" t="inlineStr">
        <is>
          <t>URGENT</t>
        </is>
      </c>
      <c r="D161" s="3" t="inlineStr">
        <is>
          <t>Yoseline Pineda</t>
        </is>
      </c>
      <c r="E161" s="16" t="n">
        <v>46185.75643282713</v>
      </c>
      <c r="F161" s="16" t="n">
        <v>46188.72494159155</v>
      </c>
      <c r="G161" s="8" t="n">
        <v>71.2</v>
      </c>
      <c r="H161" s="8" t="n">
        <v>3</v>
      </c>
      <c r="I161" s="17" t="inlineStr">
        <is>
          <t>2026-06</t>
        </is>
      </c>
      <c r="J161" s="17" t="n"/>
    </row>
    <row r="162">
      <c r="A162" s="3" t="inlineStr">
        <is>
          <t>INV00019947</t>
        </is>
      </c>
      <c r="B162" s="3" t="inlineStr">
        <is>
          <t>DONE</t>
        </is>
      </c>
      <c r="C162" s="3" t="inlineStr">
        <is>
          <t>NORMAL</t>
        </is>
      </c>
      <c r="D162" s="3" t="inlineStr">
        <is>
          <t>Diana Escobar</t>
        </is>
      </c>
      <c r="E162" s="16" t="n">
        <v>46178.63003765055</v>
      </c>
      <c r="F162" s="16" t="n">
        <v>46181.78313881271</v>
      </c>
      <c r="G162" s="8" t="n">
        <v>75.7</v>
      </c>
      <c r="H162" s="8" t="n">
        <v>3.2</v>
      </c>
      <c r="I162" s="17" t="inlineStr">
        <is>
          <t>2026-06</t>
        </is>
      </c>
      <c r="J162" s="17" t="n"/>
    </row>
    <row r="163">
      <c r="A163" s="3" t="inlineStr">
        <is>
          <t>469245</t>
        </is>
      </c>
      <c r="B163" s="3" t="inlineStr">
        <is>
          <t>DONE</t>
        </is>
      </c>
      <c r="C163" s="3" t="inlineStr">
        <is>
          <t>HIGH PRIORITY</t>
        </is>
      </c>
      <c r="D163" s="3" t="inlineStr">
        <is>
          <t>Alberto Mirón 🦅</t>
        </is>
      </c>
      <c r="E163" s="16" t="n">
        <v>46181.6720252489</v>
      </c>
      <c r="F163" s="16" t="n">
        <v>46181.77982954912</v>
      </c>
      <c r="G163" s="8" t="n">
        <v>2.6</v>
      </c>
      <c r="H163" s="8" t="n">
        <v>0.1</v>
      </c>
      <c r="I163" s="17" t="inlineStr">
        <is>
          <t>2026-06</t>
        </is>
      </c>
      <c r="J163" s="17" t="n"/>
    </row>
    <row r="164">
      <c r="A164" s="3" t="inlineStr">
        <is>
          <t>470596</t>
        </is>
      </c>
      <c r="B164" s="3" t="inlineStr">
        <is>
          <t>DONE</t>
        </is>
      </c>
      <c r="C164" s="3" t="inlineStr">
        <is>
          <t>URGENT</t>
        </is>
      </c>
      <c r="D164" s="3" t="inlineStr">
        <is>
          <t>Marco Guadarrama</t>
        </is>
      </c>
      <c r="E164" s="16" t="n">
        <v>46181.67855681388</v>
      </c>
      <c r="F164" s="16" t="n">
        <v>46181.7696155828</v>
      </c>
      <c r="G164" s="8" t="n">
        <v>2.2</v>
      </c>
      <c r="H164" s="8" t="n">
        <v>0.1</v>
      </c>
      <c r="I164" s="17" t="inlineStr">
        <is>
          <t>2026-06</t>
        </is>
      </c>
      <c r="J164" s="17" t="n"/>
    </row>
    <row r="165">
      <c r="A165" s="3" t="inlineStr">
        <is>
          <t>469845</t>
        </is>
      </c>
      <c r="B165" s="3" t="inlineStr">
        <is>
          <t>DONE</t>
        </is>
      </c>
      <c r="C165" s="3" t="inlineStr">
        <is>
          <t>NORMAL</t>
        </is>
      </c>
      <c r="D165" s="3" t="inlineStr">
        <is>
          <t>Elideth Peña</t>
        </is>
      </c>
      <c r="E165" s="16" t="n">
        <v>46178.71296000671</v>
      </c>
      <c r="F165" s="16" t="n">
        <v>46181.84189341692</v>
      </c>
      <c r="G165" s="8" t="n">
        <v>75.09999999999999</v>
      </c>
      <c r="H165" s="8" t="n">
        <v>3.1</v>
      </c>
      <c r="I165" s="17" t="inlineStr">
        <is>
          <t>2026-06</t>
        </is>
      </c>
      <c r="J165" s="17" t="n"/>
    </row>
    <row r="166">
      <c r="A166" s="3" t="inlineStr">
        <is>
          <t>469534</t>
        </is>
      </c>
      <c r="B166" s="3" t="inlineStr">
        <is>
          <t>DONE</t>
        </is>
      </c>
      <c r="C166" s="3" t="inlineStr">
        <is>
          <t>URGENT</t>
        </is>
      </c>
      <c r="D166" s="3" t="inlineStr">
        <is>
          <t>Ana Paula De la Vega</t>
        </is>
      </c>
      <c r="E166" s="16" t="n">
        <v>46176.67284854659</v>
      </c>
      <c r="F166" s="16" t="n">
        <v>46181.84527083537</v>
      </c>
      <c r="G166" s="8" t="n">
        <v>124.1</v>
      </c>
      <c r="H166" s="8" t="n">
        <v>5.2</v>
      </c>
      <c r="I166" s="17" t="inlineStr">
        <is>
          <t>2026-06</t>
        </is>
      </c>
      <c r="J166" s="17" t="n"/>
    </row>
    <row r="167">
      <c r="A167" s="3" t="inlineStr">
        <is>
          <t>469071</t>
        </is>
      </c>
      <c r="B167" s="3" t="inlineStr">
        <is>
          <t>DONE</t>
        </is>
      </c>
      <c r="C167" s="3" t="inlineStr">
        <is>
          <t>HIGH PRIORITY</t>
        </is>
      </c>
      <c r="D167" s="3" t="inlineStr">
        <is>
          <t>Marco Guadarrama</t>
        </is>
      </c>
      <c r="E167" s="16" t="n">
        <v>46177.89684355089</v>
      </c>
      <c r="F167" s="16" t="n">
        <v>46181.77063750313</v>
      </c>
      <c r="G167" s="8" t="n">
        <v>93</v>
      </c>
      <c r="H167" s="8" t="n">
        <v>3.9</v>
      </c>
      <c r="I167" s="17" t="inlineStr">
        <is>
          <t>2026-06</t>
        </is>
      </c>
      <c r="J167" s="17" t="n"/>
    </row>
    <row r="168">
      <c r="A168" s="3" t="inlineStr">
        <is>
          <t>421511</t>
        </is>
      </c>
      <c r="B168" s="3" t="inlineStr">
        <is>
          <t>DONE</t>
        </is>
      </c>
      <c r="C168" s="3" t="inlineStr">
        <is>
          <t>NORMAL</t>
        </is>
      </c>
      <c r="D168" s="3" t="inlineStr">
        <is>
          <t>Paolet Ordóñez</t>
        </is>
      </c>
      <c r="E168" s="16" t="n">
        <v>46177.6968939953</v>
      </c>
      <c r="F168" s="16" t="n">
        <v>46177.78456475474</v>
      </c>
      <c r="G168" s="8" t="n">
        <v>2.1</v>
      </c>
      <c r="H168" s="8" t="n">
        <v>0.1</v>
      </c>
      <c r="I168" s="17" t="inlineStr">
        <is>
          <t>2026-06</t>
        </is>
      </c>
      <c r="J168" s="17" t="n"/>
    </row>
    <row r="169">
      <c r="A169" s="3" t="inlineStr">
        <is>
          <t>469776</t>
        </is>
      </c>
      <c r="B169" s="3" t="inlineStr">
        <is>
          <t>DONE</t>
        </is>
      </c>
      <c r="C169" s="3" t="inlineStr">
        <is>
          <t>NORMAL</t>
        </is>
      </c>
      <c r="D169" s="3" t="inlineStr">
        <is>
          <t>Yoseline Pineda</t>
        </is>
      </c>
      <c r="E169" s="16" t="n">
        <v>46174.70340044097</v>
      </c>
      <c r="F169" s="16" t="n">
        <v>46174.80888935012</v>
      </c>
      <c r="G169" s="8" t="n">
        <v>2.5</v>
      </c>
      <c r="H169" s="8" t="n">
        <v>0.1</v>
      </c>
      <c r="I169" s="17" t="inlineStr">
        <is>
          <t>2026-06</t>
        </is>
      </c>
      <c r="J169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6" customWidth="1" min="4" max="4"/>
    <col width="14" customWidth="1" min="5" max="5"/>
    <col width="12" customWidth="1" min="6" max="6"/>
  </cols>
  <sheetData>
    <row r="1">
      <c r="A1" s="18" t="inlineStr">
        <is>
          <t>OPEN TASKS — Pending (TO DO) and In Progress (WORKING)</t>
        </is>
      </c>
    </row>
    <row r="3">
      <c r="A3" s="5" t="inlineStr">
        <is>
          <t>Invoice Number</t>
        </is>
      </c>
      <c r="B3" s="5" t="inlineStr">
        <is>
          <t>Status</t>
        </is>
      </c>
      <c r="C3" s="5" t="inlineStr">
        <is>
          <t>Priority</t>
        </is>
      </c>
      <c r="D3" s="5" t="inlineStr">
        <is>
          <t>Assigned by</t>
        </is>
      </c>
      <c r="E3" s="5" t="inlineStr">
        <is>
          <t>Created At</t>
        </is>
      </c>
      <c r="F3" s="5" t="inlineStr">
        <is>
          <t>Days open</t>
        </is>
      </c>
    </row>
    <row r="4">
      <c r="A4" s="3" t="inlineStr">
        <is>
          <t>SV540</t>
        </is>
      </c>
      <c r="B4" s="17" t="inlineStr">
        <is>
          <t>WORKING</t>
        </is>
      </c>
      <c r="C4" s="3" t="inlineStr">
        <is>
          <t>NORMAL</t>
        </is>
      </c>
      <c r="D4" s="3" t="inlineStr">
        <is>
          <t>Israel Illescas</t>
        </is>
      </c>
      <c r="E4" s="16" t="n">
        <v>46223.75779360971</v>
      </c>
      <c r="F4" s="19" t="n">
        <v>44</v>
      </c>
    </row>
    <row r="5">
      <c r="A5" s="3" t="inlineStr">
        <is>
          <t>INV00023791</t>
        </is>
      </c>
      <c r="B5" s="17" t="inlineStr">
        <is>
          <t>WORKING</t>
        </is>
      </c>
      <c r="C5" s="3" t="inlineStr">
        <is>
          <t>NORMAL</t>
        </is>
      </c>
      <c r="D5" s="3" t="inlineStr">
        <is>
          <t>Yoseline Pineda</t>
        </is>
      </c>
      <c r="E5" s="16" t="n">
        <v>46230.6552297637</v>
      </c>
      <c r="F5" s="19" t="n">
        <v>37</v>
      </c>
    </row>
    <row r="6">
      <c r="A6" s="3" t="inlineStr">
        <is>
          <t>INV00021679</t>
        </is>
      </c>
      <c r="B6" s="17" t="inlineStr">
        <is>
          <t>TO DO</t>
        </is>
      </c>
      <c r="C6" s="3" t="inlineStr">
        <is>
          <t>NORMAL</t>
        </is>
      </c>
      <c r="D6" s="3" t="inlineStr">
        <is>
          <t>Raúl Pérez</t>
        </is>
      </c>
      <c r="E6" s="16" t="n">
        <v>46243.95557626537</v>
      </c>
      <c r="F6" s="19" t="n">
        <v>24</v>
      </c>
    </row>
    <row r="7">
      <c r="A7" s="3" t="inlineStr">
        <is>
          <t>INV00025207</t>
        </is>
      </c>
      <c r="B7" s="17" t="inlineStr">
        <is>
          <t>WORKING</t>
        </is>
      </c>
      <c r="C7" s="3" t="inlineStr">
        <is>
          <t>NORMAL</t>
        </is>
      </c>
      <c r="D7" s="3" t="inlineStr">
        <is>
          <t>Alberto Mirón 🦅</t>
        </is>
      </c>
      <c r="E7" s="16" t="n">
        <v>46254.59888176494</v>
      </c>
      <c r="F7" s="19" t="n">
        <v>13</v>
      </c>
    </row>
    <row r="8">
      <c r="A8" s="3" t="inlineStr">
        <is>
          <t>INV00022230</t>
        </is>
      </c>
      <c r="B8" s="17" t="inlineStr">
        <is>
          <t>TO DO</t>
        </is>
      </c>
      <c r="C8" s="3" t="inlineStr">
        <is>
          <t>URGENT</t>
        </is>
      </c>
      <c r="D8" s="3" t="inlineStr">
        <is>
          <t>Ana Paula De la Vega</t>
        </is>
      </c>
      <c r="E8" s="16" t="n">
        <v>46266.67988896417</v>
      </c>
      <c r="F8" s="20" t="n">
        <v>1</v>
      </c>
    </row>
    <row r="9">
      <c r="A9" s="3" t="inlineStr"/>
      <c r="B9" s="17" t="inlineStr">
        <is>
          <t>TO DO</t>
        </is>
      </c>
      <c r="C9" s="3" t="inlineStr">
        <is>
          <t>URGENT</t>
        </is>
      </c>
      <c r="D9" s="3" t="inlineStr">
        <is>
          <t>Ana Paula De la Vega</t>
        </is>
      </c>
      <c r="E9" s="16" t="n">
        <v>46266.67811394995</v>
      </c>
      <c r="F9" s="20" t="n">
        <v>1</v>
      </c>
    </row>
    <row r="10">
      <c r="A10" s="3" t="inlineStr">
        <is>
          <t>INV00027359</t>
        </is>
      </c>
      <c r="B10" s="17" t="inlineStr">
        <is>
          <t>TO DO</t>
        </is>
      </c>
      <c r="C10" s="3" t="inlineStr">
        <is>
          <t>URGENT</t>
        </is>
      </c>
      <c r="D10" s="3" t="inlineStr">
        <is>
          <t>Ana Paula De la Vega</t>
        </is>
      </c>
      <c r="E10" s="16" t="n">
        <v>46266.71111309509</v>
      </c>
      <c r="F10" s="20" t="n">
        <v>1</v>
      </c>
    </row>
    <row r="11">
      <c r="A11" s="3" t="inlineStr">
        <is>
          <t>INV00024918</t>
        </is>
      </c>
      <c r="B11" s="17" t="inlineStr">
        <is>
          <t>TO DO</t>
        </is>
      </c>
      <c r="C11" s="3" t="inlineStr">
        <is>
          <t>NORMAL</t>
        </is>
      </c>
      <c r="D11" s="3" t="inlineStr">
        <is>
          <t>Erika Sorrell</t>
        </is>
      </c>
      <c r="E11" s="16" t="n">
        <v>46267.52025060176</v>
      </c>
      <c r="F11" s="20" t="n">
        <v>0</v>
      </c>
    </row>
    <row r="12">
      <c r="A12" s="3" t="inlineStr">
        <is>
          <t>INV00026378</t>
        </is>
      </c>
      <c r="B12" s="17" t="inlineStr">
        <is>
          <t>TO DO</t>
        </is>
      </c>
      <c r="C12" s="3" t="inlineStr">
        <is>
          <t>NORMAL</t>
        </is>
      </c>
      <c r="D12" s="3" t="inlineStr">
        <is>
          <t>Julieta Partido</t>
        </is>
      </c>
      <c r="E12" s="16" t="n">
        <v>46267.76278976115</v>
      </c>
      <c r="F12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4" customWidth="1" min="4" max="4"/>
    <col width="14" customWidth="1" min="5" max="5"/>
    <col width="15" customWidth="1" min="6" max="6"/>
  </cols>
  <sheetData>
    <row r="1">
      <c r="A1" s="18" t="inlineStr">
        <is>
          <t>Aug - 26 TASKS RESOLVED IN MORE THAN 7 DAYS</t>
        </is>
      </c>
    </row>
    <row r="3">
      <c r="A3" s="5" t="inlineStr">
        <is>
          <t>Invoice Number</t>
        </is>
      </c>
      <c r="B3" s="5" t="inlineStr">
        <is>
          <t>Priority</t>
        </is>
      </c>
      <c r="C3" s="5" t="inlineStr">
        <is>
          <t>Assigned by</t>
        </is>
      </c>
      <c r="D3" s="5" t="inlineStr">
        <is>
          <t>Created At</t>
        </is>
      </c>
      <c r="E3" s="5" t="inlineStr">
        <is>
          <t>Completed At</t>
        </is>
      </c>
      <c r="F3" s="5" t="inlineStr">
        <is>
          <t>Resolution days</t>
        </is>
      </c>
    </row>
    <row r="4">
      <c r="A4" s="3" t="inlineStr">
        <is>
          <t>INV00022167</t>
        </is>
      </c>
      <c r="B4" s="17" t="inlineStr">
        <is>
          <t>HIGH PRIORITY</t>
        </is>
      </c>
      <c r="C4" s="3" t="inlineStr">
        <is>
          <t>Yoseline Pineda</t>
        </is>
      </c>
      <c r="D4" s="16" t="n">
        <v>46248.6312213943</v>
      </c>
      <c r="E4" s="16" t="n">
        <v>46262.99442037521</v>
      </c>
      <c r="F4" s="21">
        <f>(E4-D4)</f>
        <v/>
      </c>
    </row>
    <row r="5">
      <c r="A5" s="3" t="inlineStr">
        <is>
          <t>INV00022435</t>
        </is>
      </c>
      <c r="B5" s="17" t="inlineStr">
        <is>
          <t>NORMAL</t>
        </is>
      </c>
      <c r="C5" s="3" t="inlineStr">
        <is>
          <t>Eduardo Paredes</t>
        </is>
      </c>
      <c r="D5" s="16" t="n">
        <v>46239.87921969107</v>
      </c>
      <c r="E5" s="16" t="n">
        <v>46248.73741754767</v>
      </c>
      <c r="F5" s="21">
        <f>(E5-D5)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2026-09-03T22:11:57Z</dcterms:created>
  <dcterms:modified xsi:type="dcterms:W3CDTF">2026-09-03T22:11:57Z</dcterms:modified>
</cp:coreProperties>
</file>