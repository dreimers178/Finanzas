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 Uploads Report" sheetId="1" state="visible" r:id="rId1"/>
    <sheet name="Data (calc)" sheetId="2" state="visible" r:id="rId2"/>
    <sheet name="Open &amp; In Progress" sheetId="3" state="visible" r:id="rId3"/>
    <sheet name="Slow Uploads Sep - 26 (&gt;2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b val="1"/>
      <color rgb="001F3864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Avg. resolution days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'Portal Uploads Report'!H5</f>
            </strRef>
          </tx>
          <spPr>
            <a:ln>
              <a:prstDash val="solid"/>
            </a:ln>
          </spPr>
          <cat>
            <numRef>
              <f>'Portal Uploads Report'!$D$6:$D$8</f>
            </numRef>
          </cat>
          <val>
            <numRef>
              <f>'Portal Uploads Report'!$H$6:$H$8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PORTAL UPLOADS REPORT — Sep - 26</t>
        </is>
      </c>
    </row>
    <row r="4">
      <c r="A4" s="2" t="inlineStr">
        <is>
          <t xml:space="preserve">  Sep - 26 SUMMARY</t>
        </is>
      </c>
      <c r="D4" s="2" t="inlineStr">
        <is>
          <t xml:space="preserve">  RESOLUTION TIME BY MONTH (last 3 months)</t>
        </is>
      </c>
    </row>
    <row r="5">
      <c r="A5" s="3" t="inlineStr">
        <is>
          <t>Uploads in month</t>
        </is>
      </c>
      <c r="B5" s="4">
        <f>COUNTIF('Data (calc)'!$J$2:$J$253,"2026-09")</f>
        <v/>
      </c>
      <c r="D5" s="5" t="inlineStr">
        <is>
          <t>Month</t>
        </is>
      </c>
      <c r="E5" s="5" t="inlineStr">
        <is>
          <t># Uploads</t>
        </is>
      </c>
      <c r="F5" s="5" t="inlineStr">
        <is>
          <t>Resolved</t>
        </is>
      </c>
      <c r="G5" s="5" t="inlineStr">
        <is>
          <t>Avg. hours</t>
        </is>
      </c>
      <c r="H5" s="5" t="inlineStr">
        <is>
          <t>Avg. days</t>
        </is>
      </c>
      <c r="I5" s="5" t="inlineStr">
        <is>
          <t>% same day</t>
        </is>
      </c>
    </row>
    <row r="6">
      <c r="A6" s="3" t="inlineStr">
        <is>
          <t>Resolved</t>
        </is>
      </c>
      <c r="B6" s="4">
        <f>COUNTIFS('Data (calc)'!$J$2:$J$253,"2026-09",'Data (calc)'!$H$2:$H$253,"&gt;=0")</f>
        <v/>
      </c>
      <c r="D6" s="6" t="inlineStr">
        <is>
          <t>Jul - 26</t>
        </is>
      </c>
      <c r="E6" s="7">
        <f>COUNTIF('Data (calc)'!$J$2:$J$253,"2026-07")</f>
        <v/>
      </c>
      <c r="F6" s="7">
        <f>COUNTIFS('Data (calc)'!$J$2:$J$253,"2026-07",'Data (calc)'!$H$2:$H$253,"&gt;=0")</f>
        <v/>
      </c>
      <c r="G6" s="8">
        <f>IFERROR(ROUND(AVERAGEIF('Data (calc)'!$J$2:$J$253,"2026-07",'Data (calc)'!$H$2:$H$253),1),0)</f>
        <v/>
      </c>
      <c r="H6" s="8">
        <f>IFERROR(ROUND(AVERAGEIF('Data (calc)'!$J$2:$J$253,"2026-07",'Data (calc)'!$I$2:$I$253),1),0)</f>
        <v/>
      </c>
      <c r="I6" s="9">
        <f>IFERROR(COUNTIFS('Data (calc)'!$J$2:$J$253,"2026-07",'Data (calc)'!$H$2:$H$253,"&lt;24")/COUNTIFS('Data (calc)'!$J$2:$J$253,"2026-07",'Data (calc)'!$H$2:$H$253,"&gt;=0"),0)</f>
        <v/>
      </c>
    </row>
    <row r="7">
      <c r="A7" s="3" t="inlineStr">
        <is>
          <t>Avg. resolution (days)</t>
        </is>
      </c>
      <c r="B7" s="10">
        <f>IFERROR(ROUND(AVERAGEIF('Data (calc)'!$J$2:$J$253,"2026-09",'Data (calc)'!$I$2:$I$253),1),0)</f>
        <v/>
      </c>
      <c r="D7" s="6" t="inlineStr">
        <is>
          <t>Aug - 26</t>
        </is>
      </c>
      <c r="E7" s="7">
        <f>COUNTIF('Data (calc)'!$J$2:$J$253,"2026-08")</f>
        <v/>
      </c>
      <c r="F7" s="7">
        <f>COUNTIFS('Data (calc)'!$J$2:$J$253,"2026-08",'Data (calc)'!$H$2:$H$253,"&gt;=0")</f>
        <v/>
      </c>
      <c r="G7" s="8">
        <f>IFERROR(ROUND(AVERAGEIF('Data (calc)'!$J$2:$J$253,"2026-08",'Data (calc)'!$H$2:$H$253),1),0)</f>
        <v/>
      </c>
      <c r="H7" s="8">
        <f>IFERROR(ROUND(AVERAGEIF('Data (calc)'!$J$2:$J$253,"2026-08",'Data (calc)'!$I$2:$I$253),1),0)</f>
        <v/>
      </c>
      <c r="I7" s="9">
        <f>IFERROR(COUNTIFS('Data (calc)'!$J$2:$J$253,"2026-08",'Data (calc)'!$H$2:$H$253,"&lt;24")/COUNTIFS('Data (calc)'!$J$2:$J$253,"2026-08",'Data (calc)'!$H$2:$H$253,"&gt;=0"),0)</f>
        <v/>
      </c>
    </row>
    <row r="8">
      <c r="A8" s="3" t="inlineStr">
        <is>
          <t>% same day</t>
        </is>
      </c>
      <c r="B8" s="11">
        <f>IFERROR(COUNTIFS('Data (calc)'!$J$2:$J$253,"2026-09",'Data (calc)'!$H$2:$H$253,"&lt;24")/COUNTIFS('Data (calc)'!$J$2:$J$253,"2026-09",'Data (calc)'!$H$2:$H$253,"&gt;=0"),0)</f>
        <v/>
      </c>
      <c r="D8" s="6" t="inlineStr">
        <is>
          <t>Sep - 26</t>
        </is>
      </c>
      <c r="E8" s="7">
        <f>COUNTIF('Data (calc)'!$J$2:$J$253,"2026-09")</f>
        <v/>
      </c>
      <c r="F8" s="7">
        <f>COUNTIFS('Data (calc)'!$J$2:$J$253,"2026-09",'Data (calc)'!$H$2:$H$253,"&gt;=0")</f>
        <v/>
      </c>
      <c r="G8" s="8">
        <f>IFERROR(ROUND(AVERAGEIF('Data (calc)'!$J$2:$J$253,"2026-09",'Data (calc)'!$H$2:$H$253),1),0)</f>
        <v/>
      </c>
      <c r="H8" s="8">
        <f>IFERROR(ROUND(AVERAGEIF('Data (calc)'!$J$2:$J$253,"2026-09",'Data (calc)'!$I$2:$I$253),1),0)</f>
        <v/>
      </c>
      <c r="I8" s="9">
        <f>IFERROR(COUNTIFS('Data (calc)'!$J$2:$J$253,"2026-09",'Data (calc)'!$H$2:$H$253,"&lt;24")/COUNTIFS('Data (calc)'!$J$2:$J$253,"2026-09",'Data (calc)'!$H$2:$H$253,"&gt;=0"),0)</f>
        <v/>
      </c>
    </row>
    <row r="9">
      <c r="A9" s="3" t="inlineStr">
        <is>
          <t>Open (not resolved) at month-end</t>
        </is>
      </c>
      <c r="B9" s="4">
        <f>COUNTIFS('Data (calc)'!$B$2:$B$253,"OPEN",'Data (calc)'!$J$2:$J$253,"2026-09")</f>
        <v/>
      </c>
      <c r="D9" s="6" t="inlineStr">
        <is>
          <t>TOTAL</t>
        </is>
      </c>
      <c r="E9" s="12">
        <f>SUM(E6:E8)</f>
        <v/>
      </c>
      <c r="F9" s="12">
        <f>SUM(F6:F8)</f>
        <v/>
      </c>
      <c r="G9" s="13">
        <f>IFERROR(ROUND(AVERAGEIFS('Data (calc)'!$H$2:$H$253,'Data (calc)'!$J$2:$J$253,"&gt;=2026-07"),1),0)</f>
        <v/>
      </c>
      <c r="H9" s="13">
        <f>IFERROR(ROUND(AVERAGEIFS('Data (calc)'!$I$2:$I$253,'Data (calc)'!$J$2:$J$253,"&gt;=2026-07"),1),0)</f>
        <v/>
      </c>
      <c r="I9" s="14">
        <f>IFERROR(COUNTIFS('Data (calc)'!$J$2:$J$253,"&gt;=2026-07",'Data (calc)'!$H$2:$H$253,"&lt;24")/COUNTIFS('Data (calc)'!$J$2:$J$253,"&gt;=2026-07",'Data (calc)'!$H$2:$H$253,"&gt;=0"),0)</f>
        <v/>
      </c>
    </row>
    <row r="10">
      <c r="A10" s="3" t="inlineStr">
        <is>
          <t>Portals used (month)</t>
        </is>
      </c>
      <c r="B10" s="4" t="n">
        <v>18</v>
      </c>
    </row>
    <row r="15">
      <c r="A15" s="2" t="inlineStr">
        <is>
          <t xml:space="preserve">  RESOLUTION TIME DISTRIBUTION — Sep - 26</t>
        </is>
      </c>
      <c r="D15" s="2" t="inlineStr">
        <is>
          <t xml:space="preserve">  UPLOADS BY PORTAL — Sep - 26</t>
        </is>
      </c>
    </row>
    <row r="16">
      <c r="A16" s="5" t="inlineStr">
        <is>
          <t>Range</t>
        </is>
      </c>
      <c r="B16" s="5" t="inlineStr">
        <is>
          <t># Uploads</t>
        </is>
      </c>
      <c r="C16" s="5" t="inlineStr">
        <is>
          <t>% of total</t>
        </is>
      </c>
      <c r="D16" s="5" t="inlineStr">
        <is>
          <t>Portal</t>
        </is>
      </c>
      <c r="E16" s="5" t="inlineStr">
        <is>
          <t># Uploads</t>
        </is>
      </c>
      <c r="F16" s="5" t="inlineStr">
        <is>
          <t>% of total</t>
        </is>
      </c>
      <c r="G16" s="5" t="inlineStr">
        <is>
          <t>Avg. days</t>
        </is>
      </c>
      <c r="H16" s="5" t="inlineStr">
        <is>
          <t>% same day</t>
        </is>
      </c>
    </row>
    <row r="17">
      <c r="A17" s="3" t="inlineStr">
        <is>
          <t>Same day (&lt; 24 h)</t>
        </is>
      </c>
      <c r="B17" s="7">
        <f>COUNTIFS('Data (calc)'!$J$2:$J$253,"2026-09",'Data (calc)'!$H$2:$H$253,"&lt;24")</f>
        <v/>
      </c>
      <c r="C17" s="9">
        <f>IFERROR(B17/COUNTIFS('Data (calc)'!$J$2:$J$253,"2026-09",'Data (calc)'!$H$2:$H$253,"&gt;=0"),0)</f>
        <v/>
      </c>
      <c r="D17" s="3" t="inlineStr">
        <is>
          <t>Coupa</t>
        </is>
      </c>
      <c r="E17" s="7">
        <f>COUNTIFS('Data (calc)'!$C$2:$C$253,"Coupa",'Data (calc)'!$J$2:$J$253,"2026-09")</f>
        <v/>
      </c>
      <c r="F17" s="9">
        <f>IFERROR(COUNTIFS('Data (calc)'!$C$2:$C$253,"Coupa",'Data (calc)'!$J$2:$J$253,"2026-09")/COUNTIF('Data (calc)'!$J$2:$J$253,"2026-09"),0)</f>
        <v/>
      </c>
      <c r="G17" s="8">
        <f>IFERROR(ROUND(AVERAGEIFS('Data (calc)'!$I$2:$I$253,'Data (calc)'!$C$2:$C$253,"Coupa",'Data (calc)'!$J$2:$J$253,"2026-09"),1),0)</f>
        <v/>
      </c>
      <c r="H17" s="9">
        <f>IFERROR(COUNTIFS('Data (calc)'!$C$2:$C$253,"Coupa",'Data (calc)'!$J$2:$J$253,"2026-09",'Data (calc)'!$H$2:$H$253,"&lt;24")/COUNTIFS('Data (calc)'!$C$2:$C$253,"Coupa",'Data (calc)'!$J$2:$J$253,"2026-09",'Data (calc)'!$H$2:$H$253,"&gt;=0"),0)</f>
        <v/>
      </c>
    </row>
    <row r="18">
      <c r="A18" s="3" t="inlineStr">
        <is>
          <t>1 – 2 days</t>
        </is>
      </c>
      <c r="B18" s="7">
        <f>COUNTIFS('Data (calc)'!$J$2:$J$253,"2026-09",'Data (calc)'!$H$2:$H$253,"&gt;=24",'Data (calc)'!$H$2:$H$253,"&lt;48")</f>
        <v/>
      </c>
      <c r="C18" s="9">
        <f>IFERROR(B18/COUNTIFS('Data (calc)'!$J$2:$J$253,"2026-09",'Data (calc)'!$H$2:$H$253,"&gt;=0"),0)</f>
        <v/>
      </c>
      <c r="D18" s="3" t="inlineStr">
        <is>
          <t>Ariba</t>
        </is>
      </c>
      <c r="E18" s="7">
        <f>COUNTIFS('Data (calc)'!$C$2:$C$253,"Ariba",'Data (calc)'!$J$2:$J$253,"2026-09")</f>
        <v/>
      </c>
      <c r="F18" s="9">
        <f>IFERROR(COUNTIFS('Data (calc)'!$C$2:$C$253,"Ariba",'Data (calc)'!$J$2:$J$253,"2026-09")/COUNTIF('Data (calc)'!$J$2:$J$253,"2026-09"),0)</f>
        <v/>
      </c>
      <c r="G18" s="8">
        <f>IFERROR(ROUND(AVERAGEIFS('Data (calc)'!$I$2:$I$253,'Data (calc)'!$C$2:$C$253,"Ariba",'Data (calc)'!$J$2:$J$253,"2026-09"),1),0)</f>
        <v/>
      </c>
      <c r="H18" s="9">
        <f>IFERROR(COUNTIFS('Data (calc)'!$C$2:$C$253,"Ariba",'Data (calc)'!$J$2:$J$253,"2026-09",'Data (calc)'!$H$2:$H$253,"&lt;24")/COUNTIFS('Data (calc)'!$C$2:$C$253,"Ariba",'Data (calc)'!$J$2:$J$253,"2026-09",'Data (calc)'!$H$2:$H$253,"&gt;=0"),0)</f>
        <v/>
      </c>
    </row>
    <row r="19">
      <c r="A19" s="3" t="inlineStr">
        <is>
          <t>2 – 4 days</t>
        </is>
      </c>
      <c r="B19" s="7">
        <f>COUNTIFS('Data (calc)'!$J$2:$J$253,"2026-09",'Data (calc)'!$H$2:$H$253,"&gt;=48",'Data (calc)'!$H$2:$H$253,"&lt;96")</f>
        <v/>
      </c>
      <c r="C19" s="9">
        <f>IFERROR(B19/COUNTIFS('Data (calc)'!$J$2:$J$253,"2026-09",'Data (calc)'!$H$2:$H$253,"&gt;=0"),0)</f>
        <v/>
      </c>
      <c r="D19" s="3" t="inlineStr">
        <is>
          <t>Taulia</t>
        </is>
      </c>
      <c r="E19" s="7">
        <f>COUNTIFS('Data (calc)'!$C$2:$C$253,"Taulia",'Data (calc)'!$J$2:$J$253,"2026-09")</f>
        <v/>
      </c>
      <c r="F19" s="9">
        <f>IFERROR(COUNTIFS('Data (calc)'!$C$2:$C$253,"Taulia",'Data (calc)'!$J$2:$J$253,"2026-09")/COUNTIF('Data (calc)'!$J$2:$J$253,"2026-09"),0)</f>
        <v/>
      </c>
      <c r="G19" s="8">
        <f>IFERROR(ROUND(AVERAGEIFS('Data (calc)'!$I$2:$I$253,'Data (calc)'!$C$2:$C$253,"Taulia",'Data (calc)'!$J$2:$J$253,"2026-09"),1),0)</f>
        <v/>
      </c>
      <c r="H19" s="9">
        <f>IFERROR(COUNTIFS('Data (calc)'!$C$2:$C$253,"Taulia",'Data (calc)'!$J$2:$J$253,"2026-09",'Data (calc)'!$H$2:$H$253,"&lt;24")/COUNTIFS('Data (calc)'!$C$2:$C$253,"Taulia",'Data (calc)'!$J$2:$J$253,"2026-09",'Data (calc)'!$H$2:$H$253,"&gt;=0"),0)</f>
        <v/>
      </c>
    </row>
    <row r="20">
      <c r="A20" s="3" t="inlineStr">
        <is>
          <t>4 – 7 days</t>
        </is>
      </c>
      <c r="B20" s="7">
        <f>COUNTIFS('Data (calc)'!$J$2:$J$253,"2026-09",'Data (calc)'!$H$2:$H$253,"&gt;=96",'Data (calc)'!$H$2:$H$253,"&lt;168")</f>
        <v/>
      </c>
      <c r="C20" s="9">
        <f>IFERROR(B20/COUNTIFS('Data (calc)'!$J$2:$J$253,"2026-09",'Data (calc)'!$H$2:$H$253,"&gt;=0"),0)</f>
        <v/>
      </c>
      <c r="D20" s="3" t="inlineStr">
        <is>
          <t>URL</t>
        </is>
      </c>
      <c r="E20" s="7">
        <f>COUNTIFS('Data (calc)'!$C$2:$C$253,"URL",'Data (calc)'!$J$2:$J$253,"2026-09")</f>
        <v/>
      </c>
      <c r="F20" s="9">
        <f>IFERROR(COUNTIFS('Data (calc)'!$C$2:$C$253,"URL",'Data (calc)'!$J$2:$J$253,"2026-09")/COUNTIF('Data (calc)'!$J$2:$J$253,"2026-09"),0)</f>
        <v/>
      </c>
      <c r="G20" s="8">
        <f>IFERROR(ROUND(AVERAGEIFS('Data (calc)'!$I$2:$I$253,'Data (calc)'!$C$2:$C$253,"URL",'Data (calc)'!$J$2:$J$253,"2026-09"),1),0)</f>
        <v/>
      </c>
      <c r="H20" s="9">
        <f>IFERROR(COUNTIFS('Data (calc)'!$C$2:$C$253,"URL",'Data (calc)'!$J$2:$J$253,"2026-09",'Data (calc)'!$H$2:$H$253,"&lt;24")/COUNTIFS('Data (calc)'!$C$2:$C$253,"URL",'Data (calc)'!$J$2:$J$253,"2026-09",'Data (calc)'!$H$2:$H$253,"&gt;=0"),0)</f>
        <v/>
      </c>
    </row>
    <row r="21">
      <c r="A21" s="3" t="inlineStr">
        <is>
          <t>More than 7 days</t>
        </is>
      </c>
      <c r="B21" s="7">
        <f>COUNTIFS('Data (calc)'!$J$2:$J$253,"2026-09",'Data (calc)'!$H$2:$H$253,"&gt;=168")</f>
        <v/>
      </c>
      <c r="C21" s="9">
        <f>IFERROR(B21/COUNTIFS('Data (calc)'!$J$2:$J$253,"2026-09",'Data (calc)'!$H$2:$H$253,"&gt;=0"),0)</f>
        <v/>
      </c>
      <c r="D21" s="3" t="inlineStr">
        <is>
          <t>Chorus Pro</t>
        </is>
      </c>
      <c r="E21" s="7">
        <f>COUNTIFS('Data (calc)'!$C$2:$C$253,"Chorus Pro",'Data (calc)'!$J$2:$J$253,"2026-09")</f>
        <v/>
      </c>
      <c r="F21" s="9">
        <f>IFERROR(COUNTIFS('Data (calc)'!$C$2:$C$253,"Chorus Pro",'Data (calc)'!$J$2:$J$253,"2026-09")/COUNTIF('Data (calc)'!$J$2:$J$253,"2026-09"),0)</f>
        <v/>
      </c>
      <c r="G21" s="8">
        <f>IFERROR(ROUND(AVERAGEIFS('Data (calc)'!$I$2:$I$253,'Data (calc)'!$C$2:$C$253,"Chorus Pro",'Data (calc)'!$J$2:$J$253,"2026-09"),1),0)</f>
        <v/>
      </c>
      <c r="H21" s="9">
        <f>IFERROR(COUNTIFS('Data (calc)'!$C$2:$C$253,"Chorus Pro",'Data (calc)'!$J$2:$J$253,"2026-09",'Data (calc)'!$H$2:$H$253,"&lt;24")/COUNTIFS('Data (calc)'!$C$2:$C$253,"Chorus Pro",'Data (calc)'!$J$2:$J$253,"2026-09",'Data (calc)'!$H$2:$H$253,"&gt;=0"),0)</f>
        <v/>
      </c>
    </row>
    <row r="22">
      <c r="A22" s="6" t="inlineStr">
        <is>
          <t>TOTAL</t>
        </is>
      </c>
      <c r="B22" s="12">
        <f>SUM(B17:B21)</f>
        <v/>
      </c>
      <c r="C22" s="14">
        <f>IFERROR(B22/COUNTIFS('Data (calc)'!$J$2:$J$253,"2026-09",'Data (calc)'!$H$2:$H$253,"&gt;=0"),0)</f>
        <v/>
      </c>
      <c r="D22" s="3" t="inlineStr">
        <is>
          <t>Oracle</t>
        </is>
      </c>
      <c r="E22" s="7">
        <f>COUNTIFS('Data (calc)'!$C$2:$C$253,"Oracle",'Data (calc)'!$J$2:$J$253,"2026-09")</f>
        <v/>
      </c>
      <c r="F22" s="9">
        <f>IFERROR(COUNTIFS('Data (calc)'!$C$2:$C$253,"Oracle",'Data (calc)'!$J$2:$J$253,"2026-09")/COUNTIF('Data (calc)'!$J$2:$J$253,"2026-09"),0)</f>
        <v/>
      </c>
      <c r="G22" s="8">
        <f>IFERROR(ROUND(AVERAGEIFS('Data (calc)'!$I$2:$I$253,'Data (calc)'!$C$2:$C$253,"Oracle",'Data (calc)'!$J$2:$J$253,"2026-09"),1),0)</f>
        <v/>
      </c>
      <c r="H22" s="9">
        <f>IFERROR(COUNTIFS('Data (calc)'!$C$2:$C$253,"Oracle",'Data (calc)'!$J$2:$J$253,"2026-09",'Data (calc)'!$H$2:$H$253,"&lt;24")/COUNTIFS('Data (calc)'!$C$2:$C$253,"Oracle",'Data (calc)'!$J$2:$J$253,"2026-09",'Data (calc)'!$H$2:$H$253,"&gt;=0"),0)</f>
        <v/>
      </c>
    </row>
    <row r="23">
      <c r="D23" s="3" t="inlineStr">
        <is>
          <t>Ivalua</t>
        </is>
      </c>
      <c r="E23" s="7">
        <f>COUNTIFS('Data (calc)'!$C$2:$C$253,"Ivalua",'Data (calc)'!$J$2:$J$253,"2026-09")</f>
        <v/>
      </c>
      <c r="F23" s="9">
        <f>IFERROR(COUNTIFS('Data (calc)'!$C$2:$C$253,"Ivalua",'Data (calc)'!$J$2:$J$253,"2026-09")/COUNTIF('Data (calc)'!$J$2:$J$253,"2026-09"),0)</f>
        <v/>
      </c>
      <c r="G23" s="8">
        <f>IFERROR(ROUND(AVERAGEIFS('Data (calc)'!$I$2:$I$253,'Data (calc)'!$C$2:$C$253,"Ivalua",'Data (calc)'!$J$2:$J$253,"2026-09"),1),0)</f>
        <v/>
      </c>
      <c r="H23" s="9">
        <f>IFERROR(COUNTIFS('Data (calc)'!$C$2:$C$253,"Ivalua",'Data (calc)'!$J$2:$J$253,"2026-09",'Data (calc)'!$H$2:$H$253,"&lt;24")/COUNTIFS('Data (calc)'!$C$2:$C$253,"Ivalua",'Data (calc)'!$J$2:$J$253,"2026-09",'Data (calc)'!$H$2:$H$253,"&gt;=0"),0)</f>
        <v/>
      </c>
    </row>
    <row r="24">
      <c r="D24" s="3" t="inlineStr">
        <is>
          <t>Vendors@Gov</t>
        </is>
      </c>
      <c r="E24" s="7">
        <f>COUNTIFS('Data (calc)'!$C$2:$C$253,"Vendors@Gov",'Data (calc)'!$J$2:$J$253,"2026-09")</f>
        <v/>
      </c>
      <c r="F24" s="9">
        <f>IFERROR(COUNTIFS('Data (calc)'!$C$2:$C$253,"Vendors@Gov",'Data (calc)'!$J$2:$J$253,"2026-09")/COUNTIF('Data (calc)'!$J$2:$J$253,"2026-09"),0)</f>
        <v/>
      </c>
      <c r="G24" s="8">
        <f>IFERROR(ROUND(AVERAGEIFS('Data (calc)'!$I$2:$I$253,'Data (calc)'!$C$2:$C$253,"Vendors@Gov",'Data (calc)'!$J$2:$J$253,"2026-09"),1),0)</f>
        <v/>
      </c>
      <c r="H24" s="9">
        <f>IFERROR(COUNTIFS('Data (calc)'!$C$2:$C$253,"Vendors@Gov",'Data (calc)'!$J$2:$J$253,"2026-09",'Data (calc)'!$H$2:$H$253,"&lt;24")/COUNTIFS('Data (calc)'!$C$2:$C$253,"Vendors@Gov",'Data (calc)'!$J$2:$J$253,"2026-09",'Data (calc)'!$H$2:$H$253,"&gt;=0"),0)</f>
        <v/>
      </c>
    </row>
    <row r="25">
      <c r="D25" s="3" t="inlineStr">
        <is>
          <t>Other</t>
        </is>
      </c>
      <c r="E25" s="7" t="n">
        <v>11</v>
      </c>
      <c r="F25" s="9">
        <f>IFERROR(E25/COUNTIF('Data (calc)'!$J$2:$J$253,"2026-09"),0)</f>
        <v/>
      </c>
      <c r="G25" s="8" t="n">
        <v>0.2</v>
      </c>
      <c r="H25" s="9" t="n">
        <v>1</v>
      </c>
    </row>
    <row r="26">
      <c r="D26" s="6" t="inlineStr">
        <is>
          <t>TOTAL</t>
        </is>
      </c>
      <c r="E26" s="12">
        <f>COUNTIF('Data (calc)'!$J$2:$J$253,"2026-09")</f>
        <v/>
      </c>
      <c r="F26" s="14">
        <f>IFERROR(E26/COUNTIF('Data (calc)'!$J$2:$J$253,"2026-09"),0)</f>
        <v/>
      </c>
      <c r="G26" s="13">
        <f>IFERROR(ROUND(AVERAGEIF('Data (calc)'!$J$2:$J$253,"2026-09",'Data (calc)'!$I$2:$I$253),1),0)</f>
        <v/>
      </c>
      <c r="H26" s="14">
        <f>IFERROR(COUNTIFS('Data (calc)'!$J$2:$J$253,"2026-09",'Data (calc)'!$H$2:$H$253,"&lt;24")/COUNTIFS('Data (calc)'!$J$2:$J$253,"2026-09",'Data (calc)'!$H$2:$H$253,"&gt;=0"),0)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5" t="inlineStr">
        <is>
          <t>Invoice Number</t>
        </is>
      </c>
      <c r="B1" s="5" t="inlineStr">
        <is>
          <t>Status</t>
        </is>
      </c>
      <c r="C1" s="5" t="inlineStr">
        <is>
          <t>Portal (norm.)</t>
        </is>
      </c>
      <c r="D1" s="5" t="inlineStr">
        <is>
          <t>Submitted By</t>
        </is>
      </c>
      <c r="E1" s="5" t="inlineStr">
        <is>
          <t>Collector assigned</t>
        </is>
      </c>
      <c r="F1" s="5" t="inlineStr">
        <is>
          <t>Submit Timestamp</t>
        </is>
      </c>
      <c r="G1" s="5" t="inlineStr">
        <is>
          <t>Resolved Timestamp</t>
        </is>
      </c>
      <c r="H1" s="5" t="inlineStr">
        <is>
          <t>Resolution (hrs)</t>
        </is>
      </c>
      <c r="I1" s="5" t="inlineStr">
        <is>
          <t>Resolution (days)</t>
        </is>
      </c>
      <c r="J1" s="5" t="inlineStr">
        <is>
          <t>Month</t>
        </is>
      </c>
      <c r="K1" s="5" t="inlineStr">
        <is>
          <t>Days open</t>
        </is>
      </c>
    </row>
    <row r="2">
      <c r="A2" s="3" t="inlineStr">
        <is>
          <t>test</t>
        </is>
      </c>
      <c r="B2" s="3" t="inlineStr">
        <is>
          <t>OPEN</t>
        </is>
      </c>
      <c r="C2" s="3" t="inlineStr">
        <is>
          <t>Other</t>
        </is>
      </c>
      <c r="D2" s="3" t="inlineStr">
        <is>
          <t>Alejandra Mendoza</t>
        </is>
      </c>
      <c r="E2" s="3" t="inlineStr"/>
      <c r="F2" s="15" t="n">
        <v>46013.89421296296</v>
      </c>
      <c r="G2" s="16" t="n"/>
      <c r="H2" s="8" t="n"/>
      <c r="I2" s="8" t="n"/>
      <c r="J2" s="16" t="inlineStr">
        <is>
          <t>2025-12</t>
        </is>
      </c>
      <c r="K2" s="7" t="n">
        <v>282</v>
      </c>
    </row>
    <row r="3">
      <c r="A3" s="3" t="inlineStr">
        <is>
          <t>QILNEW1915</t>
        </is>
      </c>
      <c r="B3" s="3" t="inlineStr">
        <is>
          <t>RESOLVED</t>
        </is>
      </c>
      <c r="C3" s="3" t="inlineStr">
        <is>
          <t>Bmw Portal</t>
        </is>
      </c>
      <c r="D3" s="3" t="inlineStr">
        <is>
          <t>Alejandra Mendoza</t>
        </is>
      </c>
      <c r="E3" s="3" t="inlineStr">
        <is>
          <t>@dreimers</t>
        </is>
      </c>
      <c r="F3" s="15" t="n">
        <v>46175.57368055556</v>
      </c>
      <c r="G3" s="15" t="n">
        <v>46176.46725694444</v>
      </c>
      <c r="H3" s="8" t="n">
        <v>21.4</v>
      </c>
      <c r="I3" s="8" t="n">
        <v>0.9</v>
      </c>
      <c r="J3" s="16" t="inlineStr">
        <is>
          <t>2026-06</t>
        </is>
      </c>
      <c r="K3" s="16" t="n"/>
    </row>
    <row r="4">
      <c r="A4" s="3" t="inlineStr">
        <is>
          <t>INV00020111</t>
        </is>
      </c>
      <c r="B4" s="3" t="inlineStr">
        <is>
          <t>RESOLVED</t>
        </is>
      </c>
      <c r="C4" s="3" t="inlineStr">
        <is>
          <t>Ariba</t>
        </is>
      </c>
      <c r="D4" s="3" t="inlineStr">
        <is>
          <t>Daniela Gomez Viscaino</t>
        </is>
      </c>
      <c r="E4" s="3" t="inlineStr">
        <is>
          <t>@dreimers</t>
        </is>
      </c>
      <c r="F4" s="15" t="n">
        <v>46176.43505787037</v>
      </c>
      <c r="G4" s="15" t="n">
        <v>46176.56564814815</v>
      </c>
      <c r="H4" s="8" t="n">
        <v>3.1</v>
      </c>
      <c r="I4" s="8" t="n">
        <v>0.1</v>
      </c>
      <c r="J4" s="16" t="inlineStr">
        <is>
          <t>2026-06</t>
        </is>
      </c>
      <c r="K4" s="16" t="n"/>
    </row>
    <row r="5">
      <c r="A5" s="3" t="inlineStr">
        <is>
          <t>Not Generated</t>
        </is>
      </c>
      <c r="B5" s="3" t="inlineStr">
        <is>
          <t>RESOLVED</t>
        </is>
      </c>
      <c r="C5" s="3" t="inlineStr">
        <is>
          <t>Chorus Pro</t>
        </is>
      </c>
      <c r="D5" s="3" t="inlineStr">
        <is>
          <t>Kaushal Hogade</t>
        </is>
      </c>
      <c r="E5" s="3" t="inlineStr">
        <is>
          <t>@dreimers</t>
        </is>
      </c>
      <c r="F5" s="15" t="n">
        <v>46176.46344907407</v>
      </c>
      <c r="G5" s="15" t="n">
        <v>46177.52550925926</v>
      </c>
      <c r="H5" s="8" t="n">
        <v>25.5</v>
      </c>
      <c r="I5" s="8" t="n">
        <v>1.1</v>
      </c>
      <c r="J5" s="16" t="inlineStr">
        <is>
          <t>2026-06</t>
        </is>
      </c>
      <c r="K5" s="16" t="n"/>
    </row>
    <row r="6">
      <c r="A6" s="3" t="inlineStr">
        <is>
          <t>INV00019964</t>
        </is>
      </c>
      <c r="B6" s="3" t="inlineStr">
        <is>
          <t>RESOLVED</t>
        </is>
      </c>
      <c r="C6" s="3" t="inlineStr">
        <is>
          <t>Coupa</t>
        </is>
      </c>
      <c r="D6" s="3" t="inlineStr">
        <is>
          <t>Daniela Gomez Viscaino</t>
        </is>
      </c>
      <c r="E6" s="3" t="inlineStr">
        <is>
          <t>@dreimers</t>
        </is>
      </c>
      <c r="F6" s="15" t="n">
        <v>46176.56909722222</v>
      </c>
      <c r="G6" s="15" t="n">
        <v>46177.51328703704</v>
      </c>
      <c r="H6" s="8" t="n">
        <v>22.7</v>
      </c>
      <c r="I6" s="8" t="n">
        <v>0.9</v>
      </c>
      <c r="J6" s="16" t="inlineStr">
        <is>
          <t>2026-06</t>
        </is>
      </c>
      <c r="K6" s="16" t="n"/>
    </row>
    <row r="7">
      <c r="A7" s="3" t="inlineStr">
        <is>
          <t>469020</t>
        </is>
      </c>
      <c r="B7" s="3" t="inlineStr">
        <is>
          <t>RESOLVED</t>
        </is>
      </c>
      <c r="C7" s="3" t="inlineStr">
        <is>
          <t>Ariba</t>
        </is>
      </c>
      <c r="D7" s="3" t="inlineStr">
        <is>
          <t>Maria Granja</t>
        </is>
      </c>
      <c r="E7" s="3" t="inlineStr">
        <is>
          <t>@dreimers</t>
        </is>
      </c>
      <c r="F7" s="15" t="n">
        <v>46177.63385416667</v>
      </c>
      <c r="G7" s="15" t="n">
        <v>46178.41920138889</v>
      </c>
      <c r="H7" s="8" t="n">
        <v>18.8</v>
      </c>
      <c r="I7" s="8" t="n">
        <v>0.8</v>
      </c>
      <c r="J7" s="16" t="inlineStr">
        <is>
          <t>2026-06</t>
        </is>
      </c>
      <c r="K7" s="16" t="n"/>
    </row>
    <row r="8">
      <c r="A8" s="3" t="inlineStr">
        <is>
          <t>468868</t>
        </is>
      </c>
      <c r="B8" s="3" t="inlineStr">
        <is>
          <t>RESOLVED</t>
        </is>
      </c>
      <c r="C8" s="3" t="inlineStr">
        <is>
          <t>Ariba</t>
        </is>
      </c>
      <c r="D8" s="3" t="inlineStr">
        <is>
          <t>Ashley Hudson</t>
        </is>
      </c>
      <c r="E8" s="3" t="inlineStr">
        <is>
          <t>@dreimers</t>
        </is>
      </c>
      <c r="F8" s="15" t="n">
        <v>46177.95206018518</v>
      </c>
      <c r="G8" s="15" t="n">
        <v>46197.53972222222</v>
      </c>
      <c r="H8" s="8" t="n">
        <v>470.1</v>
      </c>
      <c r="I8" s="8" t="n">
        <v>19.6</v>
      </c>
      <c r="J8" s="16" t="inlineStr">
        <is>
          <t>2026-06</t>
        </is>
      </c>
      <c r="K8" s="16" t="n"/>
    </row>
    <row r="9">
      <c r="A9" s="3" t="inlineStr">
        <is>
          <t>INV00020070 / INV00020071 / INV00020069 / 469136</t>
        </is>
      </c>
      <c r="B9" s="3" t="inlineStr">
        <is>
          <t>RESOLVED</t>
        </is>
      </c>
      <c r="C9" s="3" t="inlineStr">
        <is>
          <t>Taulia</t>
        </is>
      </c>
      <c r="D9" s="3" t="inlineStr">
        <is>
          <t>Ashley Hudson</t>
        </is>
      </c>
      <c r="E9" s="3" t="inlineStr">
        <is>
          <t>@dreimers</t>
        </is>
      </c>
      <c r="F9" s="15" t="n">
        <v>46178.05136574074</v>
      </c>
      <c r="G9" s="15" t="n">
        <v>46178.56423611111</v>
      </c>
      <c r="H9" s="8" t="n">
        <v>12.3</v>
      </c>
      <c r="I9" s="8" t="n">
        <v>0.5</v>
      </c>
      <c r="J9" s="16" t="inlineStr">
        <is>
          <t>2026-06</t>
        </is>
      </c>
      <c r="K9" s="16" t="n"/>
    </row>
    <row r="10">
      <c r="A10" s="3" t="inlineStr"/>
      <c r="B10" s="3" t="inlineStr">
        <is>
          <t>RESOLVED</t>
        </is>
      </c>
      <c r="C10" s="3" t="inlineStr">
        <is>
          <t>Ariba</t>
        </is>
      </c>
      <c r="D10" s="3" t="inlineStr">
        <is>
          <t>Pamella Covarrubias</t>
        </is>
      </c>
      <c r="E10" s="3" t="inlineStr">
        <is>
          <t>@dreimers</t>
        </is>
      </c>
      <c r="F10" s="15" t="n">
        <v>46178.56515046296</v>
      </c>
      <c r="G10" s="15" t="n">
        <v>46178.60672453704</v>
      </c>
      <c r="H10" s="8" t="n">
        <v>1</v>
      </c>
      <c r="I10" s="8" t="n">
        <v>0</v>
      </c>
      <c r="J10" s="16" t="inlineStr">
        <is>
          <t>2026-06</t>
        </is>
      </c>
      <c r="K10" s="16" t="n"/>
    </row>
    <row r="11">
      <c r="A11" s="3" t="inlineStr">
        <is>
          <t>466580</t>
        </is>
      </c>
      <c r="B11" s="3" t="inlineStr">
        <is>
          <t>RESOLVED</t>
        </is>
      </c>
      <c r="C11" s="3" t="inlineStr">
        <is>
          <t>URL</t>
        </is>
      </c>
      <c r="D11" s="3" t="inlineStr">
        <is>
          <t>Nikhil Anjikar</t>
        </is>
      </c>
      <c r="E11" s="3" t="inlineStr">
        <is>
          <t>@dreimers</t>
        </is>
      </c>
      <c r="F11" s="15" t="n">
        <v>46178.58784722222</v>
      </c>
      <c r="G11" s="15" t="n">
        <v>46183.64862268518</v>
      </c>
      <c r="H11" s="8" t="n">
        <v>121.5</v>
      </c>
      <c r="I11" s="8" t="n">
        <v>5.1</v>
      </c>
      <c r="J11" s="16" t="inlineStr">
        <is>
          <t>2026-06</t>
        </is>
      </c>
      <c r="K11" s="16" t="n"/>
    </row>
    <row r="12">
      <c r="A12" s="3" t="inlineStr">
        <is>
          <t>INV00020293</t>
        </is>
      </c>
      <c r="B12" s="3" t="inlineStr">
        <is>
          <t>RESOLVED</t>
        </is>
      </c>
      <c r="C12" s="3" t="inlineStr">
        <is>
          <t>Google</t>
        </is>
      </c>
      <c r="D12" s="3" t="inlineStr">
        <is>
          <t>Daniela Gomez Viscaino</t>
        </is>
      </c>
      <c r="E12" s="3" t="inlineStr">
        <is>
          <t>@dreimers</t>
        </is>
      </c>
      <c r="F12" s="15" t="n">
        <v>46181.57627314814</v>
      </c>
      <c r="G12" s="15" t="n">
        <v>46182.33144675926</v>
      </c>
      <c r="H12" s="8" t="n">
        <v>18.1</v>
      </c>
      <c r="I12" s="8" t="n">
        <v>0.8</v>
      </c>
      <c r="J12" s="16" t="inlineStr">
        <is>
          <t>2026-06</t>
        </is>
      </c>
      <c r="K12" s="16" t="n"/>
    </row>
    <row r="13">
      <c r="A13" s="3" t="inlineStr">
        <is>
          <t>unknown</t>
        </is>
      </c>
      <c r="B13" s="3" t="inlineStr">
        <is>
          <t>RESOLVED</t>
        </is>
      </c>
      <c r="C13" s="3" t="inlineStr">
        <is>
          <t>Coupa</t>
        </is>
      </c>
      <c r="D13" s="3" t="inlineStr">
        <is>
          <t>Eduardo Rivera</t>
        </is>
      </c>
      <c r="E13" s="3" t="inlineStr">
        <is>
          <t>@dreimers</t>
        </is>
      </c>
      <c r="F13" s="15" t="n">
        <v>46183.52278935185</v>
      </c>
      <c r="G13" s="15" t="n">
        <v>46183.6115162037</v>
      </c>
      <c r="H13" s="8" t="n">
        <v>2.1</v>
      </c>
      <c r="I13" s="8" t="n">
        <v>0.1</v>
      </c>
      <c r="J13" s="16" t="inlineStr">
        <is>
          <t>2026-06</t>
        </is>
      </c>
      <c r="K13" s="16" t="n"/>
    </row>
    <row r="14">
      <c r="A14" s="3" t="inlineStr">
        <is>
          <t>470660</t>
        </is>
      </c>
      <c r="B14" s="3" t="inlineStr">
        <is>
          <t>RESOLVED</t>
        </is>
      </c>
      <c r="C14" s="3" t="inlineStr">
        <is>
          <t>Coupa</t>
        </is>
      </c>
      <c r="D14" s="3" t="inlineStr">
        <is>
          <t>Jose Novelo</t>
        </is>
      </c>
      <c r="E14" s="3" t="inlineStr">
        <is>
          <t>@dreimers</t>
        </is>
      </c>
      <c r="F14" s="15" t="n">
        <v>46183.68313657407</v>
      </c>
      <c r="G14" s="15" t="n">
        <v>46197.54549768518</v>
      </c>
      <c r="H14" s="8" t="n">
        <v>332.7</v>
      </c>
      <c r="I14" s="8" t="n">
        <v>13.9</v>
      </c>
      <c r="J14" s="16" t="inlineStr">
        <is>
          <t>2026-06</t>
        </is>
      </c>
      <c r="K14" s="16" t="n"/>
    </row>
    <row r="15">
      <c r="A15" s="3" t="inlineStr">
        <is>
          <t>470678</t>
        </is>
      </c>
      <c r="B15" s="3" t="inlineStr">
        <is>
          <t>RESOLVED</t>
        </is>
      </c>
      <c r="C15" s="3" t="inlineStr">
        <is>
          <t>Awrostamani Port</t>
        </is>
      </c>
      <c r="D15" s="3" t="inlineStr">
        <is>
          <t>Jose Novelo</t>
        </is>
      </c>
      <c r="E15" s="3" t="inlineStr">
        <is>
          <t>@dreimers</t>
        </is>
      </c>
      <c r="F15" s="15" t="n">
        <v>46183.68783564815</v>
      </c>
      <c r="G15" s="15" t="n">
        <v>46185.421875</v>
      </c>
      <c r="H15" s="8" t="n">
        <v>41.6</v>
      </c>
      <c r="I15" s="8" t="n">
        <v>1.7</v>
      </c>
      <c r="J15" s="16" t="inlineStr">
        <is>
          <t>2026-06</t>
        </is>
      </c>
      <c r="K15" s="16" t="n"/>
    </row>
    <row r="16">
      <c r="A16" s="3" t="inlineStr">
        <is>
          <t>462239</t>
        </is>
      </c>
      <c r="B16" s="3" t="inlineStr">
        <is>
          <t>RESOLVED</t>
        </is>
      </c>
      <c r="C16" s="3" t="inlineStr">
        <is>
          <t>Coupa</t>
        </is>
      </c>
      <c r="D16" s="3" t="inlineStr">
        <is>
          <t>Saiyon Tanaka</t>
        </is>
      </c>
      <c r="E16" s="3" t="inlineStr">
        <is>
          <t>@dreimers</t>
        </is>
      </c>
      <c r="F16" s="15" t="n">
        <v>46184.9843287037</v>
      </c>
      <c r="G16" s="15" t="n">
        <v>46185.48872685185</v>
      </c>
      <c r="H16" s="8" t="n">
        <v>12.1</v>
      </c>
      <c r="I16" s="8" t="n">
        <v>0.5</v>
      </c>
      <c r="J16" s="16" t="inlineStr">
        <is>
          <t>2026-06</t>
        </is>
      </c>
      <c r="K16" s="16" t="n"/>
    </row>
    <row r="17">
      <c r="A17" s="3" t="inlineStr">
        <is>
          <t>INV00020633</t>
        </is>
      </c>
      <c r="B17" s="3" t="inlineStr">
        <is>
          <t>RESOLVED</t>
        </is>
      </c>
      <c r="C17" s="3" t="inlineStr">
        <is>
          <t>Ariba</t>
        </is>
      </c>
      <c r="D17" s="3" t="inlineStr">
        <is>
          <t>Daniela Gomez Viscaino</t>
        </is>
      </c>
      <c r="E17" s="3" t="inlineStr">
        <is>
          <t>@dreimers</t>
        </is>
      </c>
      <c r="F17" s="15" t="n">
        <v>46185.51924768519</v>
      </c>
      <c r="G17" s="15" t="n">
        <v>46197.5468287037</v>
      </c>
      <c r="H17" s="8" t="n">
        <v>288.7</v>
      </c>
      <c r="I17" s="8" t="n">
        <v>12</v>
      </c>
      <c r="J17" s="16" t="inlineStr">
        <is>
          <t>2026-06</t>
        </is>
      </c>
      <c r="K17" s="16" t="n"/>
    </row>
    <row r="18">
      <c r="A18" s="3" t="inlineStr">
        <is>
          <t>#464499</t>
        </is>
      </c>
      <c r="B18" s="3" t="inlineStr">
        <is>
          <t>RESOLVED</t>
        </is>
      </c>
      <c r="C18" s="3" t="inlineStr">
        <is>
          <t>Ariba</t>
        </is>
      </c>
      <c r="D18" s="3" t="inlineStr">
        <is>
          <t>Emma Günther</t>
        </is>
      </c>
      <c r="E18" s="3" t="inlineStr">
        <is>
          <t>@dreimers</t>
        </is>
      </c>
      <c r="F18" s="15" t="n">
        <v>46188.12621527778</v>
      </c>
      <c r="G18" s="15" t="n">
        <v>46192.57513888889</v>
      </c>
      <c r="H18" s="8" t="n">
        <v>106.8</v>
      </c>
      <c r="I18" s="8" t="n">
        <v>4.4</v>
      </c>
      <c r="J18" s="16" t="inlineStr">
        <is>
          <t>2026-06</t>
        </is>
      </c>
      <c r="K18" s="16" t="n"/>
    </row>
    <row r="19">
      <c r="A19" s="3" t="inlineStr">
        <is>
          <t>INV00020140</t>
        </is>
      </c>
      <c r="B19" s="3" t="inlineStr">
        <is>
          <t>RESOLVED</t>
        </is>
      </c>
      <c r="C19" s="3" t="inlineStr">
        <is>
          <t>Peppol</t>
        </is>
      </c>
      <c r="D19" s="3" t="inlineStr">
        <is>
          <t>Fabrizio Rico del Mazo</t>
        </is>
      </c>
      <c r="E19" s="3" t="inlineStr">
        <is>
          <t>@dreimers</t>
        </is>
      </c>
      <c r="F19" s="15" t="n">
        <v>46188.43354166667</v>
      </c>
      <c r="G19" s="15" t="n">
        <v>46197.55075231481</v>
      </c>
      <c r="H19" s="8" t="n">
        <v>218.8</v>
      </c>
      <c r="I19" s="8" t="n">
        <v>9.1</v>
      </c>
      <c r="J19" s="16" t="inlineStr">
        <is>
          <t>2026-06</t>
        </is>
      </c>
      <c r="K19" s="16" t="n"/>
    </row>
    <row r="20">
      <c r="A20" s="3" t="inlineStr">
        <is>
          <t>INV00020695</t>
        </is>
      </c>
      <c r="B20" s="3" t="inlineStr">
        <is>
          <t>RESOLVED</t>
        </is>
      </c>
      <c r="C20" s="3" t="inlineStr">
        <is>
          <t>Ariba</t>
        </is>
      </c>
      <c r="D20" s="3" t="inlineStr">
        <is>
          <t>Daniela Gomez Viscaino</t>
        </is>
      </c>
      <c r="E20" s="3" t="inlineStr">
        <is>
          <t>@aprilj</t>
        </is>
      </c>
      <c r="F20" s="15" t="n">
        <v>46188.65450231481</v>
      </c>
      <c r="G20" s="15" t="n">
        <v>46189.31497685185</v>
      </c>
      <c r="H20" s="8" t="n">
        <v>15.9</v>
      </c>
      <c r="I20" s="8" t="n">
        <v>0.7</v>
      </c>
      <c r="J20" s="16" t="inlineStr">
        <is>
          <t>2026-06</t>
        </is>
      </c>
      <c r="K20" s="16" t="n"/>
    </row>
    <row r="21">
      <c r="A21" s="3" t="inlineStr">
        <is>
          <t>INV00020722</t>
        </is>
      </c>
      <c r="B21" s="3" t="inlineStr">
        <is>
          <t>RESOLVED</t>
        </is>
      </c>
      <c r="C21" s="3" t="inlineStr">
        <is>
          <t>Ariba</t>
        </is>
      </c>
      <c r="D21" s="3" t="inlineStr">
        <is>
          <t>Daniela Gomez Viscaino</t>
        </is>
      </c>
      <c r="E21" s="3" t="inlineStr">
        <is>
          <t>@aprilj</t>
        </is>
      </c>
      <c r="F21" s="15" t="n">
        <v>46188.6594675926</v>
      </c>
      <c r="G21" s="15" t="n">
        <v>46189.31778935185</v>
      </c>
      <c r="H21" s="8" t="n">
        <v>15.8</v>
      </c>
      <c r="I21" s="8" t="n">
        <v>0.7</v>
      </c>
      <c r="J21" s="16" t="inlineStr">
        <is>
          <t>2026-06</t>
        </is>
      </c>
      <c r="K21" s="16" t="n"/>
    </row>
    <row r="22">
      <c r="A22" s="3" t="inlineStr">
        <is>
          <t>INV00020373</t>
        </is>
      </c>
      <c r="B22" s="3" t="inlineStr">
        <is>
          <t>RESOLVED</t>
        </is>
      </c>
      <c r="C22" s="3" t="inlineStr">
        <is>
          <t>Coupa</t>
        </is>
      </c>
      <c r="D22" s="3" t="inlineStr">
        <is>
          <t>Daniela Gomez Viscaino</t>
        </is>
      </c>
      <c r="E22" s="3" t="inlineStr">
        <is>
          <t>@aprilj</t>
        </is>
      </c>
      <c r="F22" s="15" t="n">
        <v>46188.66981481481</v>
      </c>
      <c r="G22" s="15" t="n">
        <v>46189.33142361111</v>
      </c>
      <c r="H22" s="8" t="n">
        <v>15.9</v>
      </c>
      <c r="I22" s="8" t="n">
        <v>0.7</v>
      </c>
      <c r="J22" s="16" t="inlineStr">
        <is>
          <t>2026-06</t>
        </is>
      </c>
      <c r="K22" s="16" t="n"/>
    </row>
    <row r="23">
      <c r="A23" s="3" t="inlineStr">
        <is>
          <t>470845</t>
        </is>
      </c>
      <c r="B23" s="3" t="inlineStr">
        <is>
          <t>RESOLVED</t>
        </is>
      </c>
      <c r="C23" s="3" t="inlineStr">
        <is>
          <t>URL</t>
        </is>
      </c>
      <c r="D23" s="3" t="inlineStr">
        <is>
          <t>Fabrizio Rico del Mazo</t>
        </is>
      </c>
      <c r="E23" s="3" t="inlineStr">
        <is>
          <t>@dreimers</t>
        </is>
      </c>
      <c r="F23" s="15" t="n">
        <v>46189.41263888889</v>
      </c>
      <c r="G23" s="15" t="n">
        <v>46202.489375</v>
      </c>
      <c r="H23" s="8" t="n">
        <v>313.8</v>
      </c>
      <c r="I23" s="8" t="n">
        <v>13.1</v>
      </c>
      <c r="J23" s="16" t="inlineStr">
        <is>
          <t>2026-06</t>
        </is>
      </c>
      <c r="K23" s="16" t="n"/>
    </row>
    <row r="24">
      <c r="A24" s="3" t="inlineStr">
        <is>
          <t>INV00020793</t>
        </is>
      </c>
      <c r="B24" s="3" t="inlineStr">
        <is>
          <t>RESOLVED</t>
        </is>
      </c>
      <c r="C24" s="3" t="inlineStr">
        <is>
          <t>Microsoft</t>
        </is>
      </c>
      <c r="D24" s="3" t="inlineStr">
        <is>
          <t>Diego Cué Vázquez</t>
        </is>
      </c>
      <c r="E24" s="3" t="inlineStr">
        <is>
          <t>@dreimers</t>
        </is>
      </c>
      <c r="F24" s="15" t="n">
        <v>46189.52178240741</v>
      </c>
      <c r="G24" s="15" t="n">
        <v>46190.38052083334</v>
      </c>
      <c r="H24" s="8" t="n">
        <v>20.6</v>
      </c>
      <c r="I24" s="8" t="n">
        <v>0.9</v>
      </c>
      <c r="J24" s="16" t="inlineStr">
        <is>
          <t>2026-06</t>
        </is>
      </c>
      <c r="K24" s="16" t="n"/>
    </row>
    <row r="25">
      <c r="A25" s="3" t="inlineStr">
        <is>
          <t>INV00020795</t>
        </is>
      </c>
      <c r="B25" s="3" t="inlineStr">
        <is>
          <t>RESOLVED</t>
        </is>
      </c>
      <c r="C25" s="3" t="inlineStr">
        <is>
          <t>Microsoft</t>
        </is>
      </c>
      <c r="D25" s="3" t="inlineStr">
        <is>
          <t>Diego Cué Vázquez</t>
        </is>
      </c>
      <c r="E25" s="3" t="inlineStr">
        <is>
          <t>@dreimers</t>
        </is>
      </c>
      <c r="F25" s="15" t="n">
        <v>46189.5277662037</v>
      </c>
      <c r="G25" s="15" t="n">
        <v>46190.38048611111</v>
      </c>
      <c r="H25" s="8" t="n">
        <v>20.5</v>
      </c>
      <c r="I25" s="8" t="n">
        <v>0.9</v>
      </c>
      <c r="J25" s="16" t="inlineStr">
        <is>
          <t>2026-06</t>
        </is>
      </c>
      <c r="K25" s="16" t="n"/>
    </row>
    <row r="26">
      <c r="A26" s="3" t="inlineStr">
        <is>
          <t>INV00020920</t>
        </is>
      </c>
      <c r="B26" s="3" t="inlineStr">
        <is>
          <t>RESOLVED</t>
        </is>
      </c>
      <c r="C26" s="3" t="inlineStr">
        <is>
          <t>Coupa</t>
        </is>
      </c>
      <c r="D26" s="3" t="inlineStr">
        <is>
          <t>Andrea Juarez</t>
        </is>
      </c>
      <c r="E26" s="3" t="inlineStr">
        <is>
          <t>@dreimers</t>
        </is>
      </c>
      <c r="F26" s="15" t="n">
        <v>46190.57498842593</v>
      </c>
      <c r="G26" s="15" t="n">
        <v>46190.58262731481</v>
      </c>
      <c r="H26" s="8" t="n">
        <v>0.2</v>
      </c>
      <c r="I26" s="8" t="n">
        <v>0</v>
      </c>
      <c r="J26" s="16" t="inlineStr">
        <is>
          <t>2026-06</t>
        </is>
      </c>
      <c r="K26" s="16" t="n"/>
    </row>
    <row r="27">
      <c r="A27" s="3" t="inlineStr">
        <is>
          <t>INV00020933</t>
        </is>
      </c>
      <c r="B27" s="3" t="inlineStr">
        <is>
          <t>RESOLVED</t>
        </is>
      </c>
      <c r="C27" s="3" t="inlineStr">
        <is>
          <t>Ariba</t>
        </is>
      </c>
      <c r="D27" s="3" t="inlineStr">
        <is>
          <t>Andrea Juarez</t>
        </is>
      </c>
      <c r="E27" s="3" t="inlineStr">
        <is>
          <t>@dreimers</t>
        </is>
      </c>
      <c r="F27" s="15" t="n">
        <v>46191.40704861111</v>
      </c>
      <c r="G27" s="15" t="n">
        <v>46191.42747685185</v>
      </c>
      <c r="H27" s="8" t="n">
        <v>0.5</v>
      </c>
      <c r="I27" s="8" t="n">
        <v>0</v>
      </c>
      <c r="J27" s="16" t="inlineStr">
        <is>
          <t>2026-06</t>
        </is>
      </c>
      <c r="K27" s="16" t="n"/>
    </row>
    <row r="28">
      <c r="A28" s="3" t="inlineStr">
        <is>
          <t>470501</t>
        </is>
      </c>
      <c r="B28" s="3" t="inlineStr">
        <is>
          <t>RESOLVED</t>
        </is>
      </c>
      <c r="C28" s="3" t="inlineStr">
        <is>
          <t>Transcepta</t>
        </is>
      </c>
      <c r="D28" s="3" t="inlineStr">
        <is>
          <t>Erika Sorrell</t>
        </is>
      </c>
      <c r="E28" s="3" t="inlineStr">
        <is>
          <t>@aprilj</t>
        </is>
      </c>
      <c r="F28" s="15" t="n">
        <v>46191.48587962963</v>
      </c>
      <c r="G28" s="15" t="n">
        <v>46191.56158564815</v>
      </c>
      <c r="H28" s="8" t="n">
        <v>1.8</v>
      </c>
      <c r="I28" s="8" t="n">
        <v>0.1</v>
      </c>
      <c r="J28" s="16" t="inlineStr">
        <is>
          <t>2026-06</t>
        </is>
      </c>
      <c r="K28" s="16" t="n"/>
    </row>
    <row r="29">
      <c r="A29" s="3" t="inlineStr">
        <is>
          <t>INV00020607</t>
        </is>
      </c>
      <c r="B29" s="3" t="inlineStr">
        <is>
          <t>RESOLVED</t>
        </is>
      </c>
      <c r="C29" s="3" t="inlineStr">
        <is>
          <t>Coupa</t>
        </is>
      </c>
      <c r="D29" s="3" t="inlineStr">
        <is>
          <t>Alejandro Salazar Copado</t>
        </is>
      </c>
      <c r="E29" s="3" t="inlineStr">
        <is>
          <t>@dreimers</t>
        </is>
      </c>
      <c r="F29" s="15" t="n">
        <v>46191.52921296296</v>
      </c>
      <c r="G29" s="15" t="n">
        <v>46191.55452546296</v>
      </c>
      <c r="H29" s="8" t="n">
        <v>0.6</v>
      </c>
      <c r="I29" s="8" t="n">
        <v>0</v>
      </c>
      <c r="J29" s="16" t="inlineStr">
        <is>
          <t>2026-06</t>
        </is>
      </c>
      <c r="K29" s="16" t="n"/>
    </row>
    <row r="30">
      <c r="A30" s="3" t="inlineStr">
        <is>
          <t>INV00021001</t>
        </is>
      </c>
      <c r="B30" s="3" t="inlineStr">
        <is>
          <t>RESOLVED</t>
        </is>
      </c>
      <c r="C30" s="3" t="inlineStr">
        <is>
          <t>Suppplier Connec</t>
        </is>
      </c>
      <c r="D30" s="3" t="inlineStr">
        <is>
          <t>Diego Cué Vázquez</t>
        </is>
      </c>
      <c r="E30" s="3" t="inlineStr">
        <is>
          <t>@dreimers</t>
        </is>
      </c>
      <c r="F30" s="15" t="n">
        <v>46191.57199074074</v>
      </c>
      <c r="G30" s="15" t="n">
        <v>46191.60738425926</v>
      </c>
      <c r="H30" s="8" t="n">
        <v>0.8</v>
      </c>
      <c r="I30" s="8" t="n">
        <v>0</v>
      </c>
      <c r="J30" s="16" t="inlineStr">
        <is>
          <t>2026-06</t>
        </is>
      </c>
      <c r="K30" s="16" t="n"/>
    </row>
    <row r="31">
      <c r="A31" s="3" t="inlineStr">
        <is>
          <t>INV00020899</t>
        </is>
      </c>
      <c r="B31" s="3" t="inlineStr">
        <is>
          <t>RESOLVED</t>
        </is>
      </c>
      <c r="C31" s="3" t="inlineStr">
        <is>
          <t>Ariba</t>
        </is>
      </c>
      <c r="D31" s="3" t="inlineStr">
        <is>
          <t>Daniela Gomez Viscaino</t>
        </is>
      </c>
      <c r="E31" s="3" t="inlineStr">
        <is>
          <t>@dreimers</t>
        </is>
      </c>
      <c r="F31" s="15" t="n">
        <v>46192.44603009259</v>
      </c>
      <c r="G31" s="15" t="n">
        <v>46197.55138888889</v>
      </c>
      <c r="H31" s="8" t="n">
        <v>122.5</v>
      </c>
      <c r="I31" s="8" t="n">
        <v>5.1</v>
      </c>
      <c r="J31" s="16" t="inlineStr">
        <is>
          <t>2026-06</t>
        </is>
      </c>
      <c r="K31" s="16" t="n"/>
    </row>
    <row r="32">
      <c r="A32" s="3" t="inlineStr">
        <is>
          <t>INV00020931</t>
        </is>
      </c>
      <c r="B32" s="3" t="inlineStr">
        <is>
          <t>RESOLVED</t>
        </is>
      </c>
      <c r="C32" s="3" t="inlineStr">
        <is>
          <t>Coupa</t>
        </is>
      </c>
      <c r="D32" s="3" t="inlineStr">
        <is>
          <t>Andrea Juarez</t>
        </is>
      </c>
      <c r="E32" s="3" t="inlineStr">
        <is>
          <t>@dreimers</t>
        </is>
      </c>
      <c r="F32" s="15" t="n">
        <v>46192.48368055555</v>
      </c>
      <c r="G32" s="15" t="n">
        <v>46192.5315162037</v>
      </c>
      <c r="H32" s="8" t="n">
        <v>1.1</v>
      </c>
      <c r="I32" s="8" t="n">
        <v>0</v>
      </c>
      <c r="J32" s="16" t="inlineStr">
        <is>
          <t>2026-06</t>
        </is>
      </c>
      <c r="K32" s="16" t="n"/>
    </row>
    <row r="33">
      <c r="A33" s="3" t="inlineStr">
        <is>
          <t>INV00020933</t>
        </is>
      </c>
      <c r="B33" s="3" t="inlineStr">
        <is>
          <t>RESOLVED</t>
        </is>
      </c>
      <c r="C33" s="3" t="inlineStr">
        <is>
          <t>Ariba</t>
        </is>
      </c>
      <c r="D33" s="3" t="inlineStr">
        <is>
          <t>Daniela Gomez Viscaino</t>
        </is>
      </c>
      <c r="E33" s="3" t="inlineStr">
        <is>
          <t>@dreimers</t>
        </is>
      </c>
      <c r="F33" s="15" t="n">
        <v>46192.63074074074</v>
      </c>
      <c r="G33" s="15" t="n">
        <v>46195.41001157407</v>
      </c>
      <c r="H33" s="8" t="n">
        <v>66.7</v>
      </c>
      <c r="I33" s="8" t="n">
        <v>2.8</v>
      </c>
      <c r="J33" s="16" t="inlineStr">
        <is>
          <t>2026-06</t>
        </is>
      </c>
      <c r="K33" s="16" t="n"/>
    </row>
    <row r="34">
      <c r="A34" s="3" t="inlineStr">
        <is>
          <t>INV00020931</t>
        </is>
      </c>
      <c r="B34" s="3" t="inlineStr">
        <is>
          <t>RESOLVED</t>
        </is>
      </c>
      <c r="C34" s="3" t="inlineStr">
        <is>
          <t>Coupa</t>
        </is>
      </c>
      <c r="D34" s="3" t="inlineStr">
        <is>
          <t>Daniela Gomez Viscaino</t>
        </is>
      </c>
      <c r="E34" s="3" t="inlineStr">
        <is>
          <t>@dreimers</t>
        </is>
      </c>
      <c r="F34" s="15" t="n">
        <v>46192.64016203704</v>
      </c>
      <c r="G34" s="15" t="n">
        <v>46195.42172453704</v>
      </c>
      <c r="H34" s="8" t="n">
        <v>66.8</v>
      </c>
      <c r="I34" s="8" t="n">
        <v>2.8</v>
      </c>
      <c r="J34" s="16" t="inlineStr">
        <is>
          <t>2026-06</t>
        </is>
      </c>
      <c r="K34" s="16" t="n"/>
    </row>
    <row r="35">
      <c r="A35" s="3" t="inlineStr">
        <is>
          <t>INV00020793</t>
        </is>
      </c>
      <c r="B35" s="3" t="inlineStr">
        <is>
          <t>RESOLVED</t>
        </is>
      </c>
      <c r="C35" s="3" t="inlineStr">
        <is>
          <t>Microsoft</t>
        </is>
      </c>
      <c r="D35" s="3" t="inlineStr">
        <is>
          <t>Daniela Gomez Viscaino</t>
        </is>
      </c>
      <c r="E35" s="3" t="inlineStr">
        <is>
          <t>@dreimers</t>
        </is>
      </c>
      <c r="F35" s="15" t="n">
        <v>46192.64247685186</v>
      </c>
      <c r="G35" s="15" t="n">
        <v>46195.44331018518</v>
      </c>
      <c r="H35" s="8" t="n">
        <v>67.2</v>
      </c>
      <c r="I35" s="8" t="n">
        <v>2.8</v>
      </c>
      <c r="J35" s="16" t="inlineStr">
        <is>
          <t>2026-06</t>
        </is>
      </c>
      <c r="K35" s="16" t="n"/>
    </row>
    <row r="36">
      <c r="A36" s="3" t="inlineStr">
        <is>
          <t>INV00020920</t>
        </is>
      </c>
      <c r="B36" s="3" t="inlineStr">
        <is>
          <t>RESOLVED</t>
        </is>
      </c>
      <c r="C36" s="3" t="inlineStr">
        <is>
          <t>Coupa</t>
        </is>
      </c>
      <c r="D36" s="3" t="inlineStr">
        <is>
          <t>Daniela Gomez Viscaino</t>
        </is>
      </c>
      <c r="E36" s="3" t="inlineStr">
        <is>
          <t>@dreimers</t>
        </is>
      </c>
      <c r="F36" s="15" t="n">
        <v>46192.64638888889</v>
      </c>
      <c r="G36" s="15" t="n">
        <v>46195.42607638889</v>
      </c>
      <c r="H36" s="8" t="n">
        <v>66.7</v>
      </c>
      <c r="I36" s="8" t="n">
        <v>2.8</v>
      </c>
      <c r="J36" s="16" t="inlineStr">
        <is>
          <t>2026-06</t>
        </is>
      </c>
      <c r="K36" s="16" t="n"/>
    </row>
    <row r="37">
      <c r="A37" s="3" t="inlineStr">
        <is>
          <t>INV00020867</t>
        </is>
      </c>
      <c r="B37" s="3" t="inlineStr">
        <is>
          <t>RESOLVED</t>
        </is>
      </c>
      <c r="C37" s="3" t="inlineStr">
        <is>
          <t>Ariba</t>
        </is>
      </c>
      <c r="D37" s="3" t="inlineStr">
        <is>
          <t>Daniela Gomez Viscaino</t>
        </is>
      </c>
      <c r="E37" s="3" t="inlineStr">
        <is>
          <t>@dreimers</t>
        </is>
      </c>
      <c r="F37" s="15" t="n">
        <v>46192.6684375</v>
      </c>
      <c r="G37" s="15" t="n">
        <v>46195.43376157407</v>
      </c>
      <c r="H37" s="8" t="n">
        <v>66.40000000000001</v>
      </c>
      <c r="I37" s="8" t="n">
        <v>2.8</v>
      </c>
      <c r="J37" s="16" t="inlineStr">
        <is>
          <t>2026-06</t>
        </is>
      </c>
      <c r="K37" s="16" t="n"/>
    </row>
    <row r="38">
      <c r="A38" s="3" t="inlineStr">
        <is>
          <t>QILNEW2100</t>
        </is>
      </c>
      <c r="B38" s="3" t="inlineStr">
        <is>
          <t>RESOLVED</t>
        </is>
      </c>
      <c r="C38" s="3" t="inlineStr">
        <is>
          <t>Chorus Pro</t>
        </is>
      </c>
      <c r="D38" s="3" t="inlineStr">
        <is>
          <t>Yulian Trishch</t>
        </is>
      </c>
      <c r="E38" s="3" t="inlineStr">
        <is>
          <t>@dreimers</t>
        </is>
      </c>
      <c r="F38" s="15" t="n">
        <v>46195.32594907407</v>
      </c>
      <c r="G38" s="15" t="n">
        <v>46195.4491087963</v>
      </c>
      <c r="H38" s="8" t="n">
        <v>3</v>
      </c>
      <c r="I38" s="8" t="n">
        <v>0.1</v>
      </c>
      <c r="J38" s="16" t="inlineStr">
        <is>
          <t>2026-06</t>
        </is>
      </c>
      <c r="K38" s="16" t="n"/>
    </row>
    <row r="39">
      <c r="A39" s="3" t="inlineStr">
        <is>
          <t>INV00020373</t>
        </is>
      </c>
      <c r="B39" s="3" t="inlineStr">
        <is>
          <t>RESOLVED</t>
        </is>
      </c>
      <c r="C39" s="3" t="inlineStr">
        <is>
          <t>Coupa</t>
        </is>
      </c>
      <c r="D39" s="3" t="inlineStr">
        <is>
          <t>Alejandro Salazar Copado</t>
        </is>
      </c>
      <c r="E39" s="3" t="inlineStr">
        <is>
          <t>@dreimers</t>
        </is>
      </c>
      <c r="F39" s="15" t="n">
        <v>46196.52930555555</v>
      </c>
      <c r="G39" s="15" t="n">
        <v>46196.54356481481</v>
      </c>
      <c r="H39" s="8" t="n">
        <v>0.3</v>
      </c>
      <c r="I39" s="8" t="n">
        <v>0</v>
      </c>
      <c r="J39" s="16" t="inlineStr">
        <is>
          <t>2026-06</t>
        </is>
      </c>
      <c r="K39" s="16" t="n"/>
    </row>
    <row r="40">
      <c r="A40" s="3" t="inlineStr">
        <is>
          <t>INV00021485</t>
        </is>
      </c>
      <c r="B40" s="3" t="inlineStr">
        <is>
          <t>RESOLVED</t>
        </is>
      </c>
      <c r="C40" s="3" t="inlineStr">
        <is>
          <t>Ariba</t>
        </is>
      </c>
      <c r="D40" s="3" t="inlineStr">
        <is>
          <t>Daniela Gomez Viscaino</t>
        </is>
      </c>
      <c r="E40" s="3" t="inlineStr">
        <is>
          <t>@dreimers</t>
        </is>
      </c>
      <c r="F40" s="15" t="n">
        <v>46196.58629629629</v>
      </c>
      <c r="G40" s="15" t="n">
        <v>46220.59077546297</v>
      </c>
      <c r="H40" s="8" t="n">
        <v>576.1</v>
      </c>
      <c r="I40" s="8" t="n">
        <v>24</v>
      </c>
      <c r="J40" s="16" t="inlineStr">
        <is>
          <t>2026-06</t>
        </is>
      </c>
      <c r="K40" s="16" t="n"/>
    </row>
    <row r="41">
      <c r="A41" s="3" t="inlineStr">
        <is>
          <t>INV00021506</t>
        </is>
      </c>
      <c r="B41" s="3" t="inlineStr">
        <is>
          <t>RESOLVED</t>
        </is>
      </c>
      <c r="C41" s="3" t="inlineStr">
        <is>
          <t>Ariba</t>
        </is>
      </c>
      <c r="D41" s="3" t="inlineStr">
        <is>
          <t>Daniela Gomez Viscaino</t>
        </is>
      </c>
      <c r="E41" s="3" t="inlineStr">
        <is>
          <t>@dreimers</t>
        </is>
      </c>
      <c r="F41" s="15" t="n">
        <v>46196.58836805556</v>
      </c>
      <c r="G41" s="15" t="n">
        <v>46197.45547453704</v>
      </c>
      <c r="H41" s="8" t="n">
        <v>20.8</v>
      </c>
      <c r="I41" s="8" t="n">
        <v>0.9</v>
      </c>
      <c r="J41" s="16" t="inlineStr">
        <is>
          <t>2026-06</t>
        </is>
      </c>
      <c r="K41" s="16" t="n"/>
    </row>
    <row r="42">
      <c r="A42" s="3" t="inlineStr">
        <is>
          <t>INV00020795</t>
        </is>
      </c>
      <c r="B42" s="3" t="inlineStr">
        <is>
          <t>RESOLVED</t>
        </is>
      </c>
      <c r="C42" s="3" t="inlineStr">
        <is>
          <t>Microsoft</t>
        </is>
      </c>
      <c r="D42" s="3" t="inlineStr">
        <is>
          <t>Daniela Gomez Viscaino</t>
        </is>
      </c>
      <c r="E42" s="3" t="inlineStr">
        <is>
          <t>@dreimers</t>
        </is>
      </c>
      <c r="F42" s="15" t="n">
        <v>46196.61299768519</v>
      </c>
      <c r="G42" s="15" t="n">
        <v>46197.46196759259</v>
      </c>
      <c r="H42" s="8" t="n">
        <v>20.4</v>
      </c>
      <c r="I42" s="8" t="n">
        <v>0.8</v>
      </c>
      <c r="J42" s="16" t="inlineStr">
        <is>
          <t>2026-06</t>
        </is>
      </c>
      <c r="K42" s="16" t="n"/>
    </row>
    <row r="43">
      <c r="A43" s="3" t="inlineStr">
        <is>
          <t>INV00021546</t>
        </is>
      </c>
      <c r="B43" s="3" t="inlineStr">
        <is>
          <t>RESOLVED</t>
        </is>
      </c>
      <c r="C43" s="3" t="inlineStr">
        <is>
          <t>Coupa</t>
        </is>
      </c>
      <c r="D43" s="3" t="inlineStr">
        <is>
          <t>Daniela Gomez Viscaino</t>
        </is>
      </c>
      <c r="E43" s="3" t="inlineStr">
        <is>
          <t>@dreimers</t>
        </is>
      </c>
      <c r="F43" s="15" t="n">
        <v>46196.61972222223</v>
      </c>
      <c r="G43" s="15" t="n">
        <v>46197.46125</v>
      </c>
      <c r="H43" s="8" t="n">
        <v>20.2</v>
      </c>
      <c r="I43" s="8" t="n">
        <v>0.8</v>
      </c>
      <c r="J43" s="16" t="inlineStr">
        <is>
          <t>2026-06</t>
        </is>
      </c>
      <c r="K43" s="16" t="n"/>
    </row>
    <row r="44">
      <c r="A44" s="3" t="inlineStr">
        <is>
          <t>INV00021437</t>
        </is>
      </c>
      <c r="B44" s="3" t="inlineStr">
        <is>
          <t>RESOLVED</t>
        </is>
      </c>
      <c r="C44" s="3" t="inlineStr">
        <is>
          <t>Supplier Connect</t>
        </is>
      </c>
      <c r="D44" s="3" t="inlineStr">
        <is>
          <t>Daniela Gomez Viscaino</t>
        </is>
      </c>
      <c r="E44" s="3" t="inlineStr">
        <is>
          <t>@dreimers</t>
        </is>
      </c>
      <c r="F44" s="15" t="n">
        <v>46196.6259375</v>
      </c>
      <c r="G44" s="15" t="n">
        <v>46197.47481481481</v>
      </c>
      <c r="H44" s="8" t="n">
        <v>20.4</v>
      </c>
      <c r="I44" s="8" t="n">
        <v>0.8</v>
      </c>
      <c r="J44" s="16" t="inlineStr">
        <is>
          <t>2026-06</t>
        </is>
      </c>
      <c r="K44" s="16" t="n"/>
    </row>
    <row r="45">
      <c r="A45" s="3" t="inlineStr">
        <is>
          <t>#Q-333765</t>
        </is>
      </c>
      <c r="B45" s="3" t="inlineStr">
        <is>
          <t>RESOLVED</t>
        </is>
      </c>
      <c r="C45" s="3" t="inlineStr">
        <is>
          <t>Oracle</t>
        </is>
      </c>
      <c r="D45" s="3" t="inlineStr">
        <is>
          <t>Andres Prieto</t>
        </is>
      </c>
      <c r="E45" s="3" t="inlineStr">
        <is>
          <t>@dreimers</t>
        </is>
      </c>
      <c r="F45" s="15" t="n">
        <v>46198.44140046297</v>
      </c>
      <c r="G45" s="15" t="n">
        <v>46198.56770833334</v>
      </c>
      <c r="H45" s="8" t="n">
        <v>3</v>
      </c>
      <c r="I45" s="8" t="n">
        <v>0.1</v>
      </c>
      <c r="J45" s="16" t="inlineStr">
        <is>
          <t>2026-06</t>
        </is>
      </c>
      <c r="K45" s="16" t="n"/>
    </row>
    <row r="46">
      <c r="A46" s="3" t="inlineStr">
        <is>
          <t>INV00021651</t>
        </is>
      </c>
      <c r="B46" s="3" t="inlineStr">
        <is>
          <t>RESOLVED</t>
        </is>
      </c>
      <c r="C46" s="3" t="inlineStr">
        <is>
          <t>Coupa</t>
        </is>
      </c>
      <c r="D46" s="3" t="inlineStr">
        <is>
          <t>Daniela Gomez Viscaino</t>
        </is>
      </c>
      <c r="E46" s="3" t="inlineStr">
        <is>
          <t>@dreimers</t>
        </is>
      </c>
      <c r="F46" s="15" t="n">
        <v>46198.47637731482</v>
      </c>
      <c r="G46" s="15" t="n">
        <v>46198.59099537037</v>
      </c>
      <c r="H46" s="8" t="n">
        <v>2.8</v>
      </c>
      <c r="I46" s="8" t="n">
        <v>0.1</v>
      </c>
      <c r="J46" s="16" t="inlineStr">
        <is>
          <t>2026-06</t>
        </is>
      </c>
      <c r="K46" s="16" t="n"/>
    </row>
    <row r="47">
      <c r="A47" s="3" t="inlineStr">
        <is>
          <t>INV00021650</t>
        </is>
      </c>
      <c r="B47" s="3" t="inlineStr">
        <is>
          <t>RESOLVED</t>
        </is>
      </c>
      <c r="C47" s="3" t="inlineStr">
        <is>
          <t>Coupa</t>
        </is>
      </c>
      <c r="D47" s="3" t="inlineStr">
        <is>
          <t>Maria de Lourdes López Núñez</t>
        </is>
      </c>
      <c r="E47" s="3" t="inlineStr">
        <is>
          <t>@dreimers</t>
        </is>
      </c>
      <c r="F47" s="15" t="n">
        <v>46198.48991898148</v>
      </c>
      <c r="G47" s="15" t="n">
        <v>46198.5740625</v>
      </c>
      <c r="H47" s="8" t="n">
        <v>2</v>
      </c>
      <c r="I47" s="8" t="n">
        <v>0.1</v>
      </c>
      <c r="J47" s="16" t="inlineStr">
        <is>
          <t>2026-06</t>
        </is>
      </c>
      <c r="K47" s="16" t="n"/>
    </row>
    <row r="48">
      <c r="A48" s="3" t="inlineStr">
        <is>
          <t>470840</t>
        </is>
      </c>
      <c r="B48" s="3" t="inlineStr">
        <is>
          <t>RESOLVED</t>
        </is>
      </c>
      <c r="C48" s="3" t="inlineStr">
        <is>
          <t>Chorus Pro</t>
        </is>
      </c>
      <c r="D48" s="3" t="inlineStr">
        <is>
          <t>Kaushal Hogade</t>
        </is>
      </c>
      <c r="E48" s="3" t="inlineStr"/>
      <c r="F48" s="15" t="n">
        <v>46199.16337962963</v>
      </c>
      <c r="G48" s="15" t="n">
        <v>46199.47065972222</v>
      </c>
      <c r="H48" s="8" t="n">
        <v>7.4</v>
      </c>
      <c r="I48" s="8" t="n">
        <v>0.3</v>
      </c>
      <c r="J48" s="16" t="inlineStr">
        <is>
          <t>2026-06</t>
        </is>
      </c>
      <c r="K48" s="16" t="n"/>
    </row>
    <row r="49">
      <c r="A49" s="3" t="inlineStr">
        <is>
          <t>2D-21801766</t>
        </is>
      </c>
      <c r="B49" s="3" t="inlineStr">
        <is>
          <t>RESOLVED</t>
        </is>
      </c>
      <c r="C49" s="3" t="inlineStr">
        <is>
          <t>Coupa</t>
        </is>
      </c>
      <c r="D49" s="3" t="inlineStr">
        <is>
          <t>Imanol Martinez</t>
        </is>
      </c>
      <c r="E49" s="3" t="inlineStr">
        <is>
          <t>@dreimers</t>
        </is>
      </c>
      <c r="F49" s="15" t="n">
        <v>46199.42559027778</v>
      </c>
      <c r="G49" s="15" t="n">
        <v>46199.48798611111</v>
      </c>
      <c r="H49" s="8" t="n">
        <v>1.5</v>
      </c>
      <c r="I49" s="8" t="n">
        <v>0.1</v>
      </c>
      <c r="J49" s="16" t="inlineStr">
        <is>
          <t>2026-06</t>
        </is>
      </c>
      <c r="K49" s="16" t="n"/>
    </row>
    <row r="50">
      <c r="A50" s="3" t="inlineStr">
        <is>
          <t>INV00021939</t>
        </is>
      </c>
      <c r="B50" s="3" t="inlineStr">
        <is>
          <t>RESOLVED</t>
        </is>
      </c>
      <c r="C50" s="3" t="inlineStr">
        <is>
          <t>Microsoft</t>
        </is>
      </c>
      <c r="D50" s="3" t="inlineStr">
        <is>
          <t>Andrea Juarez</t>
        </is>
      </c>
      <c r="E50" s="3" t="inlineStr">
        <is>
          <t>@dreimers</t>
        </is>
      </c>
      <c r="F50" s="15" t="n">
        <v>46201.95236111111</v>
      </c>
      <c r="G50" s="15" t="n">
        <v>46202.54658564815</v>
      </c>
      <c r="H50" s="8" t="n">
        <v>14.3</v>
      </c>
      <c r="I50" s="8" t="n">
        <v>0.6</v>
      </c>
      <c r="J50" s="16" t="inlineStr">
        <is>
          <t>2026-06</t>
        </is>
      </c>
      <c r="K50" s="16" t="n"/>
    </row>
    <row r="51">
      <c r="A51" s="3" t="inlineStr">
        <is>
          <t>4500114905</t>
        </is>
      </c>
      <c r="B51" s="3" t="inlineStr">
        <is>
          <t>RESOLVED</t>
        </is>
      </c>
      <c r="C51" s="3" t="inlineStr">
        <is>
          <t>Chorus Pro</t>
        </is>
      </c>
      <c r="D51" s="3" t="inlineStr">
        <is>
          <t>Eleonora Amarante</t>
        </is>
      </c>
      <c r="E51" s="3" t="inlineStr">
        <is>
          <t>@dreimers</t>
        </is>
      </c>
      <c r="F51" s="15" t="n">
        <v>46202.43835648148</v>
      </c>
      <c r="G51" s="15" t="n">
        <v>46202.5175</v>
      </c>
      <c r="H51" s="8" t="n">
        <v>1.9</v>
      </c>
      <c r="I51" s="8" t="n">
        <v>0.1</v>
      </c>
      <c r="J51" s="16" t="inlineStr">
        <is>
          <t>2026-06</t>
        </is>
      </c>
      <c r="K51" s="16" t="n"/>
    </row>
    <row r="52">
      <c r="A52" s="3" t="inlineStr">
        <is>
          <t>471109</t>
        </is>
      </c>
      <c r="B52" s="3" t="inlineStr">
        <is>
          <t>RESOLVED</t>
        </is>
      </c>
      <c r="C52" s="3" t="inlineStr">
        <is>
          <t>Coupa</t>
        </is>
      </c>
      <c r="D52" s="3" t="inlineStr">
        <is>
          <t>Fabrizio Rico del Mazo</t>
        </is>
      </c>
      <c r="E52" s="3" t="inlineStr">
        <is>
          <t>@kburkett</t>
        </is>
      </c>
      <c r="F52" s="15" t="n">
        <v>46202.51523148148</v>
      </c>
      <c r="G52" s="15" t="n">
        <v>46202.62076388889</v>
      </c>
      <c r="H52" s="8" t="n">
        <v>2.5</v>
      </c>
      <c r="I52" s="8" t="n">
        <v>0.1</v>
      </c>
      <c r="J52" s="16" t="inlineStr">
        <is>
          <t>2026-06</t>
        </is>
      </c>
      <c r="K52" s="16" t="n"/>
    </row>
    <row r="53">
      <c r="A53" s="3" t="inlineStr">
        <is>
          <t>INV00021802</t>
        </is>
      </c>
      <c r="B53" s="3" t="inlineStr">
        <is>
          <t>RESOLVED</t>
        </is>
      </c>
      <c r="C53" s="3" t="inlineStr">
        <is>
          <t>Ariba</t>
        </is>
      </c>
      <c r="D53" s="3" t="inlineStr">
        <is>
          <t>Daniela Gomez Viscaino</t>
        </is>
      </c>
      <c r="E53" s="3" t="inlineStr">
        <is>
          <t>@kburkett</t>
        </is>
      </c>
      <c r="F53" s="15" t="n">
        <v>46202.78636574074</v>
      </c>
      <c r="G53" s="15" t="n">
        <v>46202.93710648148</v>
      </c>
      <c r="H53" s="8" t="n">
        <v>3.6</v>
      </c>
      <c r="I53" s="8" t="n">
        <v>0.2</v>
      </c>
      <c r="J53" s="16" t="inlineStr">
        <is>
          <t>2026-06</t>
        </is>
      </c>
      <c r="K53" s="16" t="n"/>
    </row>
    <row r="54">
      <c r="A54" s="3" t="inlineStr">
        <is>
          <t>INV00021701</t>
        </is>
      </c>
      <c r="B54" s="3" t="inlineStr">
        <is>
          <t>RESOLVED</t>
        </is>
      </c>
      <c r="C54" s="3" t="inlineStr">
        <is>
          <t>Coupa</t>
        </is>
      </c>
      <c r="D54" s="3" t="inlineStr">
        <is>
          <t>Daniela Gomez Viscaino</t>
        </is>
      </c>
      <c r="E54" s="3" t="inlineStr">
        <is>
          <t>@kburkett</t>
        </is>
      </c>
      <c r="F54" s="15" t="n">
        <v>46202.78819444445</v>
      </c>
      <c r="G54" s="15" t="n">
        <v>46202.91690972223</v>
      </c>
      <c r="H54" s="8" t="n">
        <v>3.1</v>
      </c>
      <c r="I54" s="8" t="n">
        <v>0.1</v>
      </c>
      <c r="J54" s="16" t="inlineStr">
        <is>
          <t>2026-06</t>
        </is>
      </c>
      <c r="K54" s="16" t="n"/>
    </row>
    <row r="55">
      <c r="A55" s="3" t="inlineStr">
        <is>
          <t>INV00021462</t>
        </is>
      </c>
      <c r="B55" s="3" t="inlineStr">
        <is>
          <t>RESOLVED</t>
        </is>
      </c>
      <c r="C55" s="3" t="inlineStr">
        <is>
          <t>Ariba</t>
        </is>
      </c>
      <c r="D55" s="3" t="inlineStr">
        <is>
          <t>Daniela Gomez Viscaino</t>
        </is>
      </c>
      <c r="E55" s="3" t="inlineStr">
        <is>
          <t>@kburkett</t>
        </is>
      </c>
      <c r="F55" s="15" t="n">
        <v>46202.79091435186</v>
      </c>
      <c r="G55" s="15" t="n">
        <v>46202.93311342593</v>
      </c>
      <c r="H55" s="8" t="n">
        <v>3.4</v>
      </c>
      <c r="I55" s="8" t="n">
        <v>0.1</v>
      </c>
      <c r="J55" s="16" t="inlineStr">
        <is>
          <t>2026-06</t>
        </is>
      </c>
      <c r="K55" s="16" t="n"/>
    </row>
    <row r="56">
      <c r="A56" s="3" t="inlineStr">
        <is>
          <t>INV00021491</t>
        </is>
      </c>
      <c r="B56" s="3" t="inlineStr">
        <is>
          <t>RESOLVED</t>
        </is>
      </c>
      <c r="C56" s="3" t="inlineStr">
        <is>
          <t>Coupa</t>
        </is>
      </c>
      <c r="D56" s="3" t="inlineStr">
        <is>
          <t>Daniela Gomez Viscaino</t>
        </is>
      </c>
      <c r="E56" s="3" t="inlineStr">
        <is>
          <t>@kburkett</t>
        </is>
      </c>
      <c r="F56" s="15" t="n">
        <v>46202.79179398148</v>
      </c>
      <c r="G56" s="15" t="n">
        <v>46202.92932870371</v>
      </c>
      <c r="H56" s="8" t="n">
        <v>3.3</v>
      </c>
      <c r="I56" s="8" t="n">
        <v>0.1</v>
      </c>
      <c r="J56" s="16" t="inlineStr">
        <is>
          <t>2026-06</t>
        </is>
      </c>
      <c r="K56" s="16" t="n"/>
    </row>
    <row r="57">
      <c r="A57" s="3" t="inlineStr">
        <is>
          <t>INV00021769</t>
        </is>
      </c>
      <c r="B57" s="3" t="inlineStr">
        <is>
          <t>RESOLVED</t>
        </is>
      </c>
      <c r="C57" s="3" t="inlineStr">
        <is>
          <t>Coupa</t>
        </is>
      </c>
      <c r="D57" s="3" t="inlineStr">
        <is>
          <t>Daniela Gomez Viscaino</t>
        </is>
      </c>
      <c r="E57" s="3" t="inlineStr">
        <is>
          <t>@kburkett</t>
        </is>
      </c>
      <c r="F57" s="15" t="n">
        <v>46202.79376157407</v>
      </c>
      <c r="G57" s="15" t="n">
        <v>46210.34105324074</v>
      </c>
      <c r="H57" s="8" t="n">
        <v>181.1</v>
      </c>
      <c r="I57" s="8" t="n">
        <v>7.5</v>
      </c>
      <c r="J57" s="16" t="inlineStr">
        <is>
          <t>2026-06</t>
        </is>
      </c>
      <c r="K57" s="16" t="n"/>
    </row>
    <row r="58">
      <c r="A58" s="3" t="inlineStr">
        <is>
          <t>INV00021673</t>
        </is>
      </c>
      <c r="B58" s="3" t="inlineStr">
        <is>
          <t>RESOLVED</t>
        </is>
      </c>
      <c r="C58" s="3" t="inlineStr">
        <is>
          <t>Taulia</t>
        </is>
      </c>
      <c r="D58" s="3" t="inlineStr">
        <is>
          <t>Ashley Hudson</t>
        </is>
      </c>
      <c r="E58" s="3" t="inlineStr">
        <is>
          <t>@kburkett</t>
        </is>
      </c>
      <c r="F58" s="15" t="n">
        <v>46202.82228009259</v>
      </c>
      <c r="G58" s="15" t="n">
        <v>46202.89962962963</v>
      </c>
      <c r="H58" s="8" t="n">
        <v>1.9</v>
      </c>
      <c r="I58" s="8" t="n">
        <v>0.1</v>
      </c>
      <c r="J58" s="16" t="inlineStr">
        <is>
          <t>2026-06</t>
        </is>
      </c>
      <c r="K58" s="16" t="n"/>
    </row>
    <row r="59">
      <c r="A59" s="3" t="inlineStr">
        <is>
          <t>INV00022143</t>
        </is>
      </c>
      <c r="B59" s="3" t="inlineStr">
        <is>
          <t>RESOLVED</t>
        </is>
      </c>
      <c r="C59" s="3" t="inlineStr">
        <is>
          <t>Ariba</t>
        </is>
      </c>
      <c r="D59" s="3" t="inlineStr">
        <is>
          <t>Daniela Gomez Viscaino</t>
        </is>
      </c>
      <c r="E59" s="3" t="inlineStr">
        <is>
          <t>@dreimers</t>
        </is>
      </c>
      <c r="F59" s="15" t="n">
        <v>46203.46219907407</v>
      </c>
      <c r="G59" s="15" t="n">
        <v>46218.47298611111</v>
      </c>
      <c r="H59" s="8" t="n">
        <v>360.3</v>
      </c>
      <c r="I59" s="8" t="n">
        <v>15</v>
      </c>
      <c r="J59" s="16" t="inlineStr">
        <is>
          <t>2026-06</t>
        </is>
      </c>
      <c r="K59" s="16" t="n"/>
    </row>
    <row r="60">
      <c r="A60" s="3" t="inlineStr">
        <is>
          <t>INV00019962</t>
        </is>
      </c>
      <c r="B60" s="3" t="inlineStr">
        <is>
          <t>RESOLVED</t>
        </is>
      </c>
      <c r="C60" s="3" t="inlineStr">
        <is>
          <t>Ariba</t>
        </is>
      </c>
      <c r="D60" s="3" t="inlineStr">
        <is>
          <t>Elías Chávez Zamorano</t>
        </is>
      </c>
      <c r="E60" s="3" t="inlineStr">
        <is>
          <t>@dreimers</t>
        </is>
      </c>
      <c r="F60" s="15" t="n">
        <v>46203.55204861111</v>
      </c>
      <c r="G60" s="15" t="n">
        <v>46204.50627314814</v>
      </c>
      <c r="H60" s="8" t="n">
        <v>22.9</v>
      </c>
      <c r="I60" s="8" t="n">
        <v>1</v>
      </c>
      <c r="J60" s="16" t="inlineStr">
        <is>
          <t>2026-06</t>
        </is>
      </c>
      <c r="K60" s="16" t="n"/>
    </row>
    <row r="61">
      <c r="A61" s="3" t="inlineStr">
        <is>
          <t>INV00021682</t>
        </is>
      </c>
      <c r="B61" s="3" t="inlineStr">
        <is>
          <t>RESOLVED</t>
        </is>
      </c>
      <c r="C61" s="3" t="inlineStr">
        <is>
          <t>Ariba</t>
        </is>
      </c>
      <c r="D61" s="3" t="inlineStr">
        <is>
          <t>Daniela Gomez Viscaino</t>
        </is>
      </c>
      <c r="E61" s="3" t="inlineStr">
        <is>
          <t>@aprilj</t>
        </is>
      </c>
      <c r="F61" s="15" t="n">
        <v>46204.40569444445</v>
      </c>
      <c r="G61" s="15" t="n">
        <v>46204.42306712963</v>
      </c>
      <c r="H61" s="8" t="n">
        <v>0.4</v>
      </c>
      <c r="I61" s="8" t="n">
        <v>0</v>
      </c>
      <c r="J61" s="16" t="inlineStr">
        <is>
          <t>2026-07</t>
        </is>
      </c>
      <c r="K61" s="16" t="n"/>
    </row>
    <row r="62">
      <c r="A62" s="3" t="inlineStr">
        <is>
          <t>471137</t>
        </is>
      </c>
      <c r="B62" s="3" t="inlineStr">
        <is>
          <t>RESOLVED</t>
        </is>
      </c>
      <c r="C62" s="3" t="inlineStr">
        <is>
          <t>Option 1: (Prefe</t>
        </is>
      </c>
      <c r="D62" s="3" t="inlineStr">
        <is>
          <t>Yulian Trishch</t>
        </is>
      </c>
      <c r="E62" s="3" t="inlineStr">
        <is>
          <t>@dreimers</t>
        </is>
      </c>
      <c r="F62" s="15" t="n">
        <v>46204.41184027777</v>
      </c>
      <c r="G62" s="15" t="n">
        <v>46209.48625</v>
      </c>
      <c r="H62" s="8" t="n">
        <v>121.8</v>
      </c>
      <c r="I62" s="8" t="n">
        <v>5.1</v>
      </c>
      <c r="J62" s="16" t="inlineStr">
        <is>
          <t>2026-07</t>
        </is>
      </c>
      <c r="K62" s="16" t="n"/>
    </row>
    <row r="63">
      <c r="A63" s="3" t="inlineStr">
        <is>
          <t>467590</t>
        </is>
      </c>
      <c r="B63" s="3" t="inlineStr">
        <is>
          <t>RESOLVED</t>
        </is>
      </c>
      <c r="C63" s="3" t="inlineStr">
        <is>
          <t>Ariba</t>
        </is>
      </c>
      <c r="D63" s="3" t="inlineStr">
        <is>
          <t>Abril Marmolejo Portillo</t>
        </is>
      </c>
      <c r="E63" s="3" t="inlineStr">
        <is>
          <t>@dreimers</t>
        </is>
      </c>
      <c r="F63" s="15" t="n">
        <v>46204.59792824074</v>
      </c>
      <c r="G63" s="15" t="n">
        <v>46204.61782407408</v>
      </c>
      <c r="H63" s="8" t="n">
        <v>0.5</v>
      </c>
      <c r="I63" s="8" t="n">
        <v>0</v>
      </c>
      <c r="J63" s="16" t="inlineStr">
        <is>
          <t>2026-07</t>
        </is>
      </c>
      <c r="K63" s="16" t="n"/>
    </row>
    <row r="64">
      <c r="A64" s="3" t="inlineStr">
        <is>
          <t>INV00022317</t>
        </is>
      </c>
      <c r="B64" s="3" t="inlineStr">
        <is>
          <t>RESOLVED</t>
        </is>
      </c>
      <c r="C64" s="3" t="inlineStr">
        <is>
          <t>Ariba</t>
        </is>
      </c>
      <c r="D64" s="3" t="inlineStr">
        <is>
          <t>Andrea Juarez</t>
        </is>
      </c>
      <c r="E64" s="3" t="inlineStr">
        <is>
          <t>@dreimers</t>
        </is>
      </c>
      <c r="F64" s="15" t="n">
        <v>46204.62413194445</v>
      </c>
      <c r="G64" s="15" t="n">
        <v>46205.411875</v>
      </c>
      <c r="H64" s="8" t="n">
        <v>18.9</v>
      </c>
      <c r="I64" s="8" t="n">
        <v>0.8</v>
      </c>
      <c r="J64" s="16" t="inlineStr">
        <is>
          <t>2026-07</t>
        </is>
      </c>
      <c r="K64" s="16" t="n"/>
    </row>
    <row r="65">
      <c r="A65" s="3" t="inlineStr">
        <is>
          <t>471148</t>
        </is>
      </c>
      <c r="B65" s="3" t="inlineStr">
        <is>
          <t>RESOLVED</t>
        </is>
      </c>
      <c r="C65" s="3" t="inlineStr">
        <is>
          <t>Ariba</t>
        </is>
      </c>
      <c r="D65" s="3" t="inlineStr">
        <is>
          <t>Jose Novelo</t>
        </is>
      </c>
      <c r="E65" s="3" t="inlineStr">
        <is>
          <t>@dreimers</t>
        </is>
      </c>
      <c r="F65" s="15" t="n">
        <v>46205.57357638889</v>
      </c>
      <c r="G65" s="15" t="n">
        <v>46206.39912037037</v>
      </c>
      <c r="H65" s="8" t="n">
        <v>19.8</v>
      </c>
      <c r="I65" s="8" t="n">
        <v>0.8</v>
      </c>
      <c r="J65" s="16" t="inlineStr">
        <is>
          <t>2026-07</t>
        </is>
      </c>
      <c r="K65" s="16" t="n"/>
    </row>
    <row r="66">
      <c r="A66" s="3" t="inlineStr">
        <is>
          <t>465913</t>
        </is>
      </c>
      <c r="B66" s="3" t="inlineStr">
        <is>
          <t>RESOLVED</t>
        </is>
      </c>
      <c r="C66" s="3" t="inlineStr">
        <is>
          <t>Coupa</t>
        </is>
      </c>
      <c r="D66" s="3" t="inlineStr">
        <is>
          <t>Fernando Anaya</t>
        </is>
      </c>
      <c r="E66" s="3" t="inlineStr">
        <is>
          <t>@dreimers</t>
        </is>
      </c>
      <c r="F66" s="15" t="n">
        <v>46205.66292824074</v>
      </c>
      <c r="G66" s="15" t="n">
        <v>46206.44606481482</v>
      </c>
      <c r="H66" s="8" t="n">
        <v>18.8</v>
      </c>
      <c r="I66" s="8" t="n">
        <v>0.8</v>
      </c>
      <c r="J66" s="16" t="inlineStr">
        <is>
          <t>2026-07</t>
        </is>
      </c>
      <c r="K66" s="16" t="n"/>
    </row>
    <row r="67">
      <c r="A67" s="3" t="inlineStr">
        <is>
          <t>471232</t>
        </is>
      </c>
      <c r="B67" s="3" t="inlineStr">
        <is>
          <t>RESOLVED</t>
        </is>
      </c>
      <c r="C67" s="3" t="inlineStr">
        <is>
          <t>Ariba</t>
        </is>
      </c>
      <c r="D67" s="3" t="inlineStr">
        <is>
          <t>Fabrizio Rico del Mazo</t>
        </is>
      </c>
      <c r="E67" s="3" t="inlineStr">
        <is>
          <t>@dreimers</t>
        </is>
      </c>
      <c r="F67" s="15" t="n">
        <v>46206.42717592593</v>
      </c>
      <c r="G67" s="15" t="n">
        <v>46206.44741898148</v>
      </c>
      <c r="H67" s="8" t="n">
        <v>0.5</v>
      </c>
      <c r="I67" s="8" t="n">
        <v>0</v>
      </c>
      <c r="J67" s="16" t="inlineStr">
        <is>
          <t>2026-07</t>
        </is>
      </c>
      <c r="K67" s="16" t="n"/>
    </row>
    <row r="68">
      <c r="A68" s="3" t="inlineStr">
        <is>
          <t>471234</t>
        </is>
      </c>
      <c r="B68" s="3" t="inlineStr">
        <is>
          <t>RESOLVED</t>
        </is>
      </c>
      <c r="C68" s="3" t="inlineStr">
        <is>
          <t>Ariba</t>
        </is>
      </c>
      <c r="D68" s="3" t="inlineStr">
        <is>
          <t>Fabrizio Rico del Mazo</t>
        </is>
      </c>
      <c r="E68" s="3" t="inlineStr">
        <is>
          <t>@dreimers</t>
        </is>
      </c>
      <c r="F68" s="15" t="n">
        <v>46206.43543981481</v>
      </c>
      <c r="G68" s="15" t="n">
        <v>46206.45150462963</v>
      </c>
      <c r="H68" s="8" t="n">
        <v>0.4</v>
      </c>
      <c r="I68" s="8" t="n">
        <v>0</v>
      </c>
      <c r="J68" s="16" t="inlineStr">
        <is>
          <t>2026-07</t>
        </is>
      </c>
      <c r="K68" s="16" t="n"/>
    </row>
    <row r="69">
      <c r="A69" s="3" t="inlineStr">
        <is>
          <t>471235</t>
        </is>
      </c>
      <c r="B69" s="3" t="inlineStr">
        <is>
          <t>RESOLVED</t>
        </is>
      </c>
      <c r="C69" s="3" t="inlineStr">
        <is>
          <t>Ariba</t>
        </is>
      </c>
      <c r="D69" s="3" t="inlineStr">
        <is>
          <t>Fabrizio Rico del Mazo</t>
        </is>
      </c>
      <c r="E69" s="3" t="inlineStr">
        <is>
          <t>@dreimers</t>
        </is>
      </c>
      <c r="F69" s="15" t="n">
        <v>46206.43613425926</v>
      </c>
      <c r="G69" s="15" t="n">
        <v>46206.51376157408</v>
      </c>
      <c r="H69" s="8" t="n">
        <v>1.9</v>
      </c>
      <c r="I69" s="8" t="n">
        <v>0.1</v>
      </c>
      <c r="J69" s="16" t="inlineStr">
        <is>
          <t>2026-07</t>
        </is>
      </c>
      <c r="K69" s="16" t="n"/>
    </row>
    <row r="70">
      <c r="A70" s="3" t="inlineStr">
        <is>
          <t>471236</t>
        </is>
      </c>
      <c r="B70" s="3" t="inlineStr">
        <is>
          <t>RESOLVED</t>
        </is>
      </c>
      <c r="C70" s="3" t="inlineStr">
        <is>
          <t>Ariba</t>
        </is>
      </c>
      <c r="D70" s="3" t="inlineStr">
        <is>
          <t>Fabrizio Rico del Mazo</t>
        </is>
      </c>
      <c r="E70" s="3" t="inlineStr">
        <is>
          <t>@dreimers</t>
        </is>
      </c>
      <c r="F70" s="15" t="n">
        <v>46206.4366087963</v>
      </c>
      <c r="G70" s="15" t="n">
        <v>46245.38761574074</v>
      </c>
      <c r="H70" s="8" t="n">
        <v>934.8</v>
      </c>
      <c r="I70" s="8" t="n">
        <v>39</v>
      </c>
      <c r="J70" s="16" t="inlineStr">
        <is>
          <t>2026-07</t>
        </is>
      </c>
      <c r="K70" s="16" t="n"/>
    </row>
    <row r="71">
      <c r="A71" s="3" t="inlineStr">
        <is>
          <t>464416</t>
        </is>
      </c>
      <c r="B71" s="3" t="inlineStr">
        <is>
          <t>RESOLVED</t>
        </is>
      </c>
      <c r="C71" s="3" t="inlineStr">
        <is>
          <t>URL</t>
        </is>
      </c>
      <c r="D71" s="3" t="inlineStr">
        <is>
          <t>Bhumika Kokate</t>
        </is>
      </c>
      <c r="E71" s="3" t="inlineStr">
        <is>
          <t>@dreimers</t>
        </is>
      </c>
      <c r="F71" s="15" t="n">
        <v>46209.06267361111</v>
      </c>
      <c r="G71" s="15" t="n">
        <v>46209.46458333333</v>
      </c>
      <c r="H71" s="8" t="n">
        <v>9.6</v>
      </c>
      <c r="I71" s="8" t="n">
        <v>0.4</v>
      </c>
      <c r="J71" s="16" t="inlineStr">
        <is>
          <t>2026-07</t>
        </is>
      </c>
      <c r="K71" s="16" t="n"/>
    </row>
    <row r="72">
      <c r="A72" s="3" t="inlineStr">
        <is>
          <t>470826</t>
        </is>
      </c>
      <c r="B72" s="3" t="inlineStr">
        <is>
          <t>RESOLVED</t>
        </is>
      </c>
      <c r="C72" s="3" t="inlineStr">
        <is>
          <t>Chorus Pro</t>
        </is>
      </c>
      <c r="D72" s="3" t="inlineStr">
        <is>
          <t>Gabriela Kwaśniewska</t>
        </is>
      </c>
      <c r="E72" s="3" t="inlineStr">
        <is>
          <t>@dreimers</t>
        </is>
      </c>
      <c r="F72" s="15" t="n">
        <v>46209.36998842593</v>
      </c>
      <c r="G72" s="15" t="n">
        <v>46209.46138888889</v>
      </c>
      <c r="H72" s="8" t="n">
        <v>2.2</v>
      </c>
      <c r="I72" s="8" t="n">
        <v>0.1</v>
      </c>
      <c r="J72" s="16" t="inlineStr">
        <is>
          <t>2026-07</t>
        </is>
      </c>
      <c r="K72" s="16" t="n"/>
    </row>
    <row r="73">
      <c r="A73" s="3" t="inlineStr">
        <is>
          <t>433710</t>
        </is>
      </c>
      <c r="B73" s="3" t="inlineStr">
        <is>
          <t>RESOLVED</t>
        </is>
      </c>
      <c r="C73" s="3" t="inlineStr">
        <is>
          <t>Coupa</t>
        </is>
      </c>
      <c r="D73" s="3" t="inlineStr">
        <is>
          <t>Fernando Anaya</t>
        </is>
      </c>
      <c r="E73" s="3" t="inlineStr">
        <is>
          <t>@dreimers</t>
        </is>
      </c>
      <c r="F73" s="15" t="n">
        <v>46211.5466087963</v>
      </c>
      <c r="G73" s="15" t="n">
        <v>46231.49832175926</v>
      </c>
      <c r="H73" s="8" t="n">
        <v>478.8</v>
      </c>
      <c r="I73" s="8" t="n">
        <v>20</v>
      </c>
      <c r="J73" s="16" t="inlineStr">
        <is>
          <t>2026-07</t>
        </is>
      </c>
      <c r="K73" s="16" t="n"/>
    </row>
    <row r="74">
      <c r="A74" s="3" t="inlineStr">
        <is>
          <t>465913</t>
        </is>
      </c>
      <c r="B74" s="3" t="inlineStr">
        <is>
          <t>RESOLVED</t>
        </is>
      </c>
      <c r="C74" s="3" t="inlineStr">
        <is>
          <t>Coupa</t>
        </is>
      </c>
      <c r="D74" s="3" t="inlineStr">
        <is>
          <t>Fernando Anaya</t>
        </is>
      </c>
      <c r="E74" s="3" t="inlineStr">
        <is>
          <t>@dreimers</t>
        </is>
      </c>
      <c r="F74" s="15" t="n">
        <v>46211.54913194444</v>
      </c>
      <c r="G74" s="15" t="n">
        <v>46231.49868055555</v>
      </c>
      <c r="H74" s="8" t="n">
        <v>478.8</v>
      </c>
      <c r="I74" s="8" t="n">
        <v>19.9</v>
      </c>
      <c r="J74" s="16" t="inlineStr">
        <is>
          <t>2026-07</t>
        </is>
      </c>
      <c r="K74" s="16" t="n"/>
    </row>
    <row r="75">
      <c r="A75" s="3" t="inlineStr">
        <is>
          <t>INV00022719</t>
        </is>
      </c>
      <c r="B75" s="3" t="inlineStr">
        <is>
          <t>RESOLVED</t>
        </is>
      </c>
      <c r="C75" s="3" t="inlineStr">
        <is>
          <t>Coupa</t>
        </is>
      </c>
      <c r="D75" s="3" t="inlineStr">
        <is>
          <t>Maria de Lourdes López Núñez</t>
        </is>
      </c>
      <c r="E75" s="3" t="inlineStr">
        <is>
          <t>@dreimers</t>
        </is>
      </c>
      <c r="F75" s="15" t="n">
        <v>46211.5509375</v>
      </c>
      <c r="G75" s="15" t="n">
        <v>46211.60092592592</v>
      </c>
      <c r="H75" s="8" t="n">
        <v>1.2</v>
      </c>
      <c r="I75" s="8" t="n">
        <v>0</v>
      </c>
      <c r="J75" s="16" t="inlineStr">
        <is>
          <t>2026-07</t>
        </is>
      </c>
      <c r="K75" s="16" t="n"/>
    </row>
    <row r="76">
      <c r="A76" s="3" t="inlineStr">
        <is>
          <t>INV00022892</t>
        </is>
      </c>
      <c r="B76" s="3" t="inlineStr">
        <is>
          <t>RESOLVED</t>
        </is>
      </c>
      <c r="C76" s="3" t="inlineStr">
        <is>
          <t>Ariba</t>
        </is>
      </c>
      <c r="D76" s="3" t="inlineStr">
        <is>
          <t>Andrea Juarez</t>
        </is>
      </c>
      <c r="E76" s="3" t="inlineStr">
        <is>
          <t>@dreimers</t>
        </is>
      </c>
      <c r="F76" s="15" t="n">
        <v>46211.58126157407</v>
      </c>
      <c r="G76" s="15" t="n">
        <v>46211.61304398148</v>
      </c>
      <c r="H76" s="8" t="n">
        <v>0.8</v>
      </c>
      <c r="I76" s="8" t="n">
        <v>0</v>
      </c>
      <c r="J76" s="16" t="inlineStr">
        <is>
          <t>2026-07</t>
        </is>
      </c>
      <c r="K76" s="16" t="n"/>
    </row>
    <row r="77">
      <c r="A77" s="3" t="inlineStr">
        <is>
          <t>INV00022324</t>
        </is>
      </c>
      <c r="B77" s="3" t="inlineStr">
        <is>
          <t>RESOLVED</t>
        </is>
      </c>
      <c r="C77" s="3" t="inlineStr">
        <is>
          <t>Ariba</t>
        </is>
      </c>
      <c r="D77" s="3" t="inlineStr">
        <is>
          <t>Daniela Gomez Viscaino</t>
        </is>
      </c>
      <c r="E77" s="3" t="inlineStr">
        <is>
          <t>@dreimers</t>
        </is>
      </c>
      <c r="F77" s="15" t="n">
        <v>46211.58181712963</v>
      </c>
      <c r="G77" s="15" t="n">
        <v>46211.61459490741</v>
      </c>
      <c r="H77" s="8" t="n">
        <v>0.8</v>
      </c>
      <c r="I77" s="8" t="n">
        <v>0</v>
      </c>
      <c r="J77" s="16" t="inlineStr">
        <is>
          <t>2026-07</t>
        </is>
      </c>
      <c r="K77" s="16" t="n"/>
    </row>
    <row r="78">
      <c r="A78" s="3" t="inlineStr">
        <is>
          <t>470840</t>
        </is>
      </c>
      <c r="B78" s="3" t="inlineStr">
        <is>
          <t>RESOLVED</t>
        </is>
      </c>
      <c r="C78" s="3" t="inlineStr">
        <is>
          <t>Chorus Pro</t>
        </is>
      </c>
      <c r="D78" s="3" t="inlineStr">
        <is>
          <t>Gabriela Kwaśniewska</t>
        </is>
      </c>
      <c r="E78" s="3" t="inlineStr">
        <is>
          <t>@dreimers</t>
        </is>
      </c>
      <c r="F78" s="15" t="n">
        <v>46212.2705787037</v>
      </c>
      <c r="G78" s="15" t="n">
        <v>46212.48398148148</v>
      </c>
      <c r="H78" s="8" t="n">
        <v>5.1</v>
      </c>
      <c r="I78" s="8" t="n">
        <v>0.2</v>
      </c>
      <c r="J78" s="16" t="inlineStr">
        <is>
          <t>2026-07</t>
        </is>
      </c>
      <c r="K78" s="16" t="n"/>
    </row>
    <row r="79">
      <c r="A79" s="3" t="inlineStr">
        <is>
          <t>465391</t>
        </is>
      </c>
      <c r="B79" s="3" t="inlineStr">
        <is>
          <t>RESOLVED</t>
        </is>
      </c>
      <c r="C79" s="3" t="inlineStr">
        <is>
          <t>Ariba</t>
        </is>
      </c>
      <c r="D79" s="3" t="inlineStr">
        <is>
          <t>George Kahy</t>
        </is>
      </c>
      <c r="E79" s="3" t="inlineStr">
        <is>
          <t>@dreimers</t>
        </is>
      </c>
      <c r="F79" s="15" t="n">
        <v>46212.95761574074</v>
      </c>
      <c r="G79" s="15" t="n">
        <v>46213.49804398148</v>
      </c>
      <c r="H79" s="8" t="n">
        <v>13</v>
      </c>
      <c r="I79" s="8" t="n">
        <v>0.5</v>
      </c>
      <c r="J79" s="16" t="inlineStr">
        <is>
          <t>2026-07</t>
        </is>
      </c>
      <c r="K79" s="16" t="n"/>
    </row>
    <row r="80">
      <c r="A80" s="3" t="inlineStr"/>
      <c r="B80" s="3" t="inlineStr">
        <is>
          <t>RESOLVED</t>
        </is>
      </c>
      <c r="C80" s="3" t="inlineStr">
        <is>
          <t>Other</t>
        </is>
      </c>
      <c r="D80" s="3" t="inlineStr">
        <is>
          <t>Andres Prieto</t>
        </is>
      </c>
      <c r="E80" s="3" t="inlineStr">
        <is>
          <t>@dreimers</t>
        </is>
      </c>
      <c r="F80" s="15" t="n">
        <v>46213.66116898148</v>
      </c>
      <c r="G80" s="15" t="n">
        <v>46216.50620370371</v>
      </c>
      <c r="H80" s="8" t="n">
        <v>68.3</v>
      </c>
      <c r="I80" s="8" t="n">
        <v>2.8</v>
      </c>
      <c r="J80" s="16" t="inlineStr">
        <is>
          <t>2026-07</t>
        </is>
      </c>
      <c r="K80" s="16" t="n"/>
    </row>
    <row r="81">
      <c r="A81" s="3" t="inlineStr">
        <is>
          <t>471288</t>
        </is>
      </c>
      <c r="B81" s="3" t="inlineStr">
        <is>
          <t>RESOLVED</t>
        </is>
      </c>
      <c r="C81" s="3" t="inlineStr">
        <is>
          <t>Ariba</t>
        </is>
      </c>
      <c r="D81" s="3" t="inlineStr">
        <is>
          <t>Alejandro Salazar Copado</t>
        </is>
      </c>
      <c r="E81" s="3" t="inlineStr">
        <is>
          <t>@dreimers</t>
        </is>
      </c>
      <c r="F81" s="15" t="n">
        <v>46213.6821412037</v>
      </c>
      <c r="G81" s="15" t="n">
        <v>46216.50920138889</v>
      </c>
      <c r="H81" s="8" t="n">
        <v>67.8</v>
      </c>
      <c r="I81" s="8" t="n">
        <v>2.8</v>
      </c>
      <c r="J81" s="16" t="inlineStr">
        <is>
          <t>2026-07</t>
        </is>
      </c>
      <c r="K81" s="16" t="n"/>
    </row>
    <row r="82">
      <c r="A82" s="3" t="inlineStr">
        <is>
          <t>471302</t>
        </is>
      </c>
      <c r="B82" s="3" t="inlineStr">
        <is>
          <t>RESOLVED</t>
        </is>
      </c>
      <c r="C82" s="3" t="inlineStr">
        <is>
          <t>Ariba</t>
        </is>
      </c>
      <c r="D82" s="3" t="inlineStr">
        <is>
          <t>Alejandro Salazar Copado</t>
        </is>
      </c>
      <c r="E82" s="3" t="inlineStr">
        <is>
          <t>@dreimers</t>
        </is>
      </c>
      <c r="F82" s="15" t="n">
        <v>46216.39956018519</v>
      </c>
      <c r="G82" s="15" t="n">
        <v>46218.46796296296</v>
      </c>
      <c r="H82" s="8" t="n">
        <v>49.6</v>
      </c>
      <c r="I82" s="8" t="n">
        <v>2.1</v>
      </c>
      <c r="J82" s="16" t="inlineStr">
        <is>
          <t>2026-07</t>
        </is>
      </c>
      <c r="K82" s="16" t="n"/>
    </row>
    <row r="83">
      <c r="A83" s="3" t="inlineStr">
        <is>
          <t>471289</t>
        </is>
      </c>
      <c r="B83" s="3" t="inlineStr">
        <is>
          <t>RESOLVED</t>
        </is>
      </c>
      <c r="C83" s="3" t="inlineStr">
        <is>
          <t>Ariba</t>
        </is>
      </c>
      <c r="D83" s="3" t="inlineStr">
        <is>
          <t>Karla Tellez</t>
        </is>
      </c>
      <c r="E83" s="3" t="inlineStr">
        <is>
          <t>@dreimers</t>
        </is>
      </c>
      <c r="F83" s="15" t="n">
        <v>46216.46428240741</v>
      </c>
      <c r="G83" s="15" t="n">
        <v>46216.51510416667</v>
      </c>
      <c r="H83" s="8" t="n">
        <v>1.2</v>
      </c>
      <c r="I83" s="8" t="n">
        <v>0.1</v>
      </c>
      <c r="J83" s="16" t="inlineStr">
        <is>
          <t>2026-07</t>
        </is>
      </c>
      <c r="K83" s="16" t="n"/>
    </row>
    <row r="84">
      <c r="A84" s="3" t="inlineStr">
        <is>
          <t>INV00023439</t>
        </is>
      </c>
      <c r="B84" s="3" t="inlineStr">
        <is>
          <t>RESOLVED</t>
        </is>
      </c>
      <c r="C84" s="3" t="inlineStr">
        <is>
          <t>Coupa</t>
        </is>
      </c>
      <c r="D84" s="3" t="inlineStr">
        <is>
          <t>Cindy Espinola</t>
        </is>
      </c>
      <c r="E84" s="3" t="inlineStr">
        <is>
          <t>@dreimers</t>
        </is>
      </c>
      <c r="F84" s="15" t="n">
        <v>46216.5969212963</v>
      </c>
      <c r="G84" s="15" t="n">
        <v>46216.60158564815</v>
      </c>
      <c r="H84" s="8" t="n">
        <v>0.1</v>
      </c>
      <c r="I84" s="8" t="n">
        <v>0</v>
      </c>
      <c r="J84" s="16" t="inlineStr">
        <is>
          <t>2026-07</t>
        </is>
      </c>
      <c r="K84" s="16" t="n"/>
    </row>
    <row r="85">
      <c r="A85" s="3" t="inlineStr">
        <is>
          <t>INV00020373</t>
        </is>
      </c>
      <c r="B85" s="3" t="inlineStr">
        <is>
          <t>RESOLVED</t>
        </is>
      </c>
      <c r="C85" s="3" t="inlineStr">
        <is>
          <t>Coupa</t>
        </is>
      </c>
      <c r="D85" s="3" t="inlineStr">
        <is>
          <t>Daiki Hayashi</t>
        </is>
      </c>
      <c r="E85" s="3" t="inlineStr">
        <is>
          <t>@dreimers</t>
        </is>
      </c>
      <c r="F85" s="15" t="n">
        <v>46216.98214120371</v>
      </c>
      <c r="G85" s="15" t="n">
        <v>46218.46759259259</v>
      </c>
      <c r="H85" s="8" t="n">
        <v>35.7</v>
      </c>
      <c r="I85" s="8" t="n">
        <v>1.5</v>
      </c>
      <c r="J85" s="16" t="inlineStr">
        <is>
          <t>2026-07</t>
        </is>
      </c>
      <c r="K85" s="16" t="n"/>
    </row>
    <row r="86">
      <c r="A86" s="3" t="inlineStr">
        <is>
          <t>INV00022437</t>
        </is>
      </c>
      <c r="B86" s="3" t="inlineStr">
        <is>
          <t>RESOLVED</t>
        </is>
      </c>
      <c r="C86" s="3" t="inlineStr">
        <is>
          <t>Ariba</t>
        </is>
      </c>
      <c r="D86" s="3" t="inlineStr">
        <is>
          <t>Mariana Senkovych</t>
        </is>
      </c>
      <c r="E86" s="3" t="inlineStr">
        <is>
          <t>@dreimers</t>
        </is>
      </c>
      <c r="F86" s="15" t="n">
        <v>46217.39230324074</v>
      </c>
      <c r="G86" s="15" t="n">
        <v>46218.55229166667</v>
      </c>
      <c r="H86" s="8" t="n">
        <v>27.8</v>
      </c>
      <c r="I86" s="8" t="n">
        <v>1.2</v>
      </c>
      <c r="J86" s="16" t="inlineStr">
        <is>
          <t>2026-07</t>
        </is>
      </c>
      <c r="K86" s="16" t="n"/>
    </row>
    <row r="87">
      <c r="A87" s="3" t="inlineStr">
        <is>
          <t>377444</t>
        </is>
      </c>
      <c r="B87" s="3" t="inlineStr">
        <is>
          <t>RESOLVED</t>
        </is>
      </c>
      <c r="C87" s="3" t="inlineStr">
        <is>
          <t>URL</t>
        </is>
      </c>
      <c r="D87" s="3" t="inlineStr">
        <is>
          <t>Nathan Smith</t>
        </is>
      </c>
      <c r="E87" s="3" t="inlineStr">
        <is>
          <t>@dreimers</t>
        </is>
      </c>
      <c r="F87" s="15" t="n">
        <v>46217.44951388889</v>
      </c>
      <c r="G87" s="15" t="n">
        <v>46245.38123842593</v>
      </c>
      <c r="H87" s="8" t="n">
        <v>670.4</v>
      </c>
      <c r="I87" s="8" t="n">
        <v>27.9</v>
      </c>
      <c r="J87" s="16" t="inlineStr">
        <is>
          <t>2026-07</t>
        </is>
      </c>
      <c r="K87" s="16" t="n"/>
    </row>
    <row r="88">
      <c r="A88" s="3" t="inlineStr">
        <is>
          <t>INV00023643</t>
        </is>
      </c>
      <c r="B88" s="3" t="inlineStr">
        <is>
          <t>RESOLVED</t>
        </is>
      </c>
      <c r="C88" s="3" t="inlineStr">
        <is>
          <t>Google</t>
        </is>
      </c>
      <c r="D88" s="3" t="inlineStr">
        <is>
          <t>Diego Cué Vázquez</t>
        </is>
      </c>
      <c r="E88" s="3" t="inlineStr">
        <is>
          <t>@dreimers</t>
        </is>
      </c>
      <c r="F88" s="15" t="n">
        <v>46219.51006944444</v>
      </c>
      <c r="G88" s="15" t="n">
        <v>46219.59121527777</v>
      </c>
      <c r="H88" s="8" t="n">
        <v>1.9</v>
      </c>
      <c r="I88" s="8" t="n">
        <v>0.1</v>
      </c>
      <c r="J88" s="16" t="inlineStr">
        <is>
          <t>2026-07</t>
        </is>
      </c>
      <c r="K88" s="16" t="n"/>
    </row>
    <row r="89">
      <c r="A89" s="3" t="inlineStr">
        <is>
          <t>468661</t>
        </is>
      </c>
      <c r="B89" s="3" t="inlineStr">
        <is>
          <t>RESOLVED</t>
        </is>
      </c>
      <c r="C89" s="3" t="inlineStr">
        <is>
          <t>Vendor Invoice M</t>
        </is>
      </c>
      <c r="D89" s="3" t="inlineStr">
        <is>
          <t>Erick Z. Cabrera</t>
        </is>
      </c>
      <c r="E89" s="3" t="inlineStr">
        <is>
          <t>@dreimers</t>
        </is>
      </c>
      <c r="F89" s="15" t="n">
        <v>46219.57888888889</v>
      </c>
      <c r="G89" s="15" t="n">
        <v>46223.59344907408</v>
      </c>
      <c r="H89" s="8" t="n">
        <v>96.3</v>
      </c>
      <c r="I89" s="8" t="n">
        <v>4</v>
      </c>
      <c r="J89" s="16" t="inlineStr">
        <is>
          <t>2026-07</t>
        </is>
      </c>
      <c r="K89" s="16" t="n"/>
    </row>
    <row r="90">
      <c r="A90" s="3" t="inlineStr">
        <is>
          <t>INV00023799</t>
        </is>
      </c>
      <c r="B90" s="3" t="inlineStr">
        <is>
          <t>RESOLVED</t>
        </is>
      </c>
      <c r="C90" s="3" t="inlineStr">
        <is>
          <t>Tungsten</t>
        </is>
      </c>
      <c r="D90" s="3" t="inlineStr">
        <is>
          <t>Cindy Espinola</t>
        </is>
      </c>
      <c r="E90" s="3" t="inlineStr">
        <is>
          <t>@dreimers</t>
        </is>
      </c>
      <c r="F90" s="15" t="n">
        <v>46220.59633101852</v>
      </c>
      <c r="G90" s="15" t="n">
        <v>46223.59318287037</v>
      </c>
      <c r="H90" s="8" t="n">
        <v>71.90000000000001</v>
      </c>
      <c r="I90" s="8" t="n">
        <v>3</v>
      </c>
      <c r="J90" s="16" t="inlineStr">
        <is>
          <t>2026-07</t>
        </is>
      </c>
      <c r="K90" s="16" t="n"/>
    </row>
    <row r="91">
      <c r="A91" s="3" t="inlineStr">
        <is>
          <t>INV00020544</t>
        </is>
      </c>
      <c r="B91" s="3" t="inlineStr">
        <is>
          <t>RESOLVED</t>
        </is>
      </c>
      <c r="C91" s="3" t="inlineStr">
        <is>
          <t>Coupa</t>
        </is>
      </c>
      <c r="D91" s="3" t="inlineStr">
        <is>
          <t>Nikhil Anjikar</t>
        </is>
      </c>
      <c r="E91" s="3" t="inlineStr">
        <is>
          <t>@dreimers</t>
        </is>
      </c>
      <c r="F91" s="15" t="n">
        <v>46223.57290509259</v>
      </c>
      <c r="G91" s="15" t="n">
        <v>46223.59586805556</v>
      </c>
      <c r="H91" s="8" t="n">
        <v>0.6</v>
      </c>
      <c r="I91" s="8" t="n">
        <v>0</v>
      </c>
      <c r="J91" s="16" t="inlineStr">
        <is>
          <t>2026-07</t>
        </is>
      </c>
      <c r="K91" s="16" t="n"/>
    </row>
    <row r="92">
      <c r="A92" s="3" t="inlineStr">
        <is>
          <t>INV00023799</t>
        </is>
      </c>
      <c r="B92" s="3" t="inlineStr">
        <is>
          <t>RESOLVED</t>
        </is>
      </c>
      <c r="C92" s="3" t="inlineStr">
        <is>
          <t>Tradeshift</t>
        </is>
      </c>
      <c r="D92" s="3" t="inlineStr">
        <is>
          <t>Mariana Senkovych</t>
        </is>
      </c>
      <c r="E92" s="3" t="inlineStr">
        <is>
          <t>@dreimers</t>
        </is>
      </c>
      <c r="F92" s="15" t="n">
        <v>46224.19207175926</v>
      </c>
      <c r="G92" s="15" t="n">
        <v>46224.44824074074</v>
      </c>
      <c r="H92" s="8" t="n">
        <v>6.1</v>
      </c>
      <c r="I92" s="8" t="n">
        <v>0.3</v>
      </c>
      <c r="J92" s="16" t="inlineStr">
        <is>
          <t>2026-07</t>
        </is>
      </c>
      <c r="K92" s="16" t="n"/>
    </row>
    <row r="93">
      <c r="A93" s="3" t="inlineStr">
        <is>
          <t>INV00022435</t>
        </is>
      </c>
      <c r="B93" s="3" t="inlineStr">
        <is>
          <t>RESOLVED</t>
        </is>
      </c>
      <c r="C93" s="3" t="inlineStr">
        <is>
          <t>Sesami</t>
        </is>
      </c>
      <c r="D93" s="3" t="inlineStr">
        <is>
          <t>Mariano Muniain</t>
        </is>
      </c>
      <c r="E93" s="3" t="inlineStr">
        <is>
          <t>@dreimers</t>
        </is>
      </c>
      <c r="F93" s="15" t="n">
        <v>46224.39155092592</v>
      </c>
      <c r="G93" s="15" t="n">
        <v>46224.53614583334</v>
      </c>
      <c r="H93" s="8" t="n">
        <v>3.5</v>
      </c>
      <c r="I93" s="8" t="n">
        <v>0.1</v>
      </c>
      <c r="J93" s="16" t="inlineStr">
        <is>
          <t>2026-07</t>
        </is>
      </c>
      <c r="K93" s="16" t="n"/>
    </row>
    <row r="94">
      <c r="A94" s="3" t="inlineStr">
        <is>
          <t>INV00023491</t>
        </is>
      </c>
      <c r="B94" s="3" t="inlineStr">
        <is>
          <t>RESOLVED</t>
        </is>
      </c>
      <c r="C94" s="3" t="inlineStr">
        <is>
          <t>Easy Platform</t>
        </is>
      </c>
      <c r="D94" s="3" t="inlineStr">
        <is>
          <t>Fabrizio Rico del Mazo</t>
        </is>
      </c>
      <c r="E94" s="3" t="inlineStr">
        <is>
          <t>@dreimers</t>
        </is>
      </c>
      <c r="F94" s="15" t="n">
        <v>46224.42703703704</v>
      </c>
      <c r="G94" s="15" t="n">
        <v>46224.46887731482</v>
      </c>
      <c r="H94" s="8" t="n">
        <v>1</v>
      </c>
      <c r="I94" s="8" t="n">
        <v>0</v>
      </c>
      <c r="J94" s="16" t="inlineStr">
        <is>
          <t>2026-07</t>
        </is>
      </c>
      <c r="K94" s="16" t="n"/>
    </row>
    <row r="95">
      <c r="A95" s="3" t="inlineStr">
        <is>
          <t>4 6 5 3 6 9</t>
        </is>
      </c>
      <c r="B95" s="3" t="inlineStr">
        <is>
          <t>RESOLVED</t>
        </is>
      </c>
      <c r="C95" s="3" t="inlineStr">
        <is>
          <t>Transcepta</t>
        </is>
      </c>
      <c r="D95" s="3" t="inlineStr">
        <is>
          <t>Aity Sánchez Sandoval</t>
        </is>
      </c>
      <c r="E95" s="3" t="inlineStr">
        <is>
          <t>@dreimers</t>
        </is>
      </c>
      <c r="F95" s="15" t="n">
        <v>46225.50163194445</v>
      </c>
      <c r="G95" s="15" t="n">
        <v>46226.39471064815</v>
      </c>
      <c r="H95" s="8" t="n">
        <v>21.4</v>
      </c>
      <c r="I95" s="8" t="n">
        <v>0.9</v>
      </c>
      <c r="J95" s="16" t="inlineStr">
        <is>
          <t>2026-07</t>
        </is>
      </c>
      <c r="K95" s="16" t="n"/>
    </row>
    <row r="96">
      <c r="A96" s="3" t="inlineStr">
        <is>
          <t>INV00023728</t>
        </is>
      </c>
      <c r="B96" s="3" t="inlineStr">
        <is>
          <t>RESOLVED</t>
        </is>
      </c>
      <c r="C96" s="3" t="inlineStr">
        <is>
          <t>University Of Pe</t>
        </is>
      </c>
      <c r="D96" s="3" t="inlineStr">
        <is>
          <t>Aity Sánchez Sandoval</t>
        </is>
      </c>
      <c r="E96" s="3" t="inlineStr">
        <is>
          <t>@dreimers</t>
        </is>
      </c>
      <c r="F96" s="15" t="n">
        <v>46225.50575231481</v>
      </c>
      <c r="G96" s="15" t="n">
        <v>46225.56233796296</v>
      </c>
      <c r="H96" s="8" t="n">
        <v>1.4</v>
      </c>
      <c r="I96" s="8" t="n">
        <v>0.1</v>
      </c>
      <c r="J96" s="16" t="inlineStr">
        <is>
          <t>2026-07</t>
        </is>
      </c>
      <c r="K96" s="16" t="n"/>
    </row>
    <row r="97">
      <c r="A97" s="3" t="inlineStr">
        <is>
          <t>INV00023950</t>
        </is>
      </c>
      <c r="B97" s="3" t="inlineStr">
        <is>
          <t>RESOLVED</t>
        </is>
      </c>
      <c r="C97" s="3" t="inlineStr">
        <is>
          <t>Coupa</t>
        </is>
      </c>
      <c r="D97" s="3" t="inlineStr">
        <is>
          <t>Cindy Espinola</t>
        </is>
      </c>
      <c r="E97" s="3" t="inlineStr">
        <is>
          <t>@dreimers</t>
        </is>
      </c>
      <c r="F97" s="15" t="n">
        <v>46225.76797453704</v>
      </c>
      <c r="G97" s="15" t="n">
        <v>46226.40005787037</v>
      </c>
      <c r="H97" s="8" t="n">
        <v>15.2</v>
      </c>
      <c r="I97" s="8" t="n">
        <v>0.6</v>
      </c>
      <c r="J97" s="16" t="inlineStr">
        <is>
          <t>2026-07</t>
        </is>
      </c>
      <c r="K97" s="16" t="n"/>
    </row>
    <row r="98">
      <c r="A98" s="3" t="inlineStr">
        <is>
          <t>INV00023865</t>
        </is>
      </c>
      <c r="B98" s="3" t="inlineStr">
        <is>
          <t>RESOLVED</t>
        </is>
      </c>
      <c r="C98" s="3" t="inlineStr">
        <is>
          <t>Microsoft</t>
        </is>
      </c>
      <c r="D98" s="3" t="inlineStr">
        <is>
          <t>Diego Cué Vázquez</t>
        </is>
      </c>
      <c r="E98" s="3" t="inlineStr">
        <is>
          <t>@dreimers</t>
        </is>
      </c>
      <c r="F98" s="15" t="n">
        <v>46226.46505787037</v>
      </c>
      <c r="G98" s="15" t="n">
        <v>46227.34571759259</v>
      </c>
      <c r="H98" s="8" t="n">
        <v>21.1</v>
      </c>
      <c r="I98" s="8" t="n">
        <v>0.9</v>
      </c>
      <c r="J98" s="16" t="inlineStr">
        <is>
          <t>2026-07</t>
        </is>
      </c>
      <c r="K98" s="16" t="n"/>
    </row>
    <row r="99">
      <c r="A99" s="3" t="inlineStr">
        <is>
          <t>INV00023868</t>
        </is>
      </c>
      <c r="B99" s="3" t="inlineStr">
        <is>
          <t>RESOLVED</t>
        </is>
      </c>
      <c r="C99" s="3" t="inlineStr">
        <is>
          <t>Ariba</t>
        </is>
      </c>
      <c r="D99" s="3" t="inlineStr">
        <is>
          <t>Diego Cué Vázquez</t>
        </is>
      </c>
      <c r="E99" s="3" t="inlineStr">
        <is>
          <t>@dreimers</t>
        </is>
      </c>
      <c r="F99" s="15" t="n">
        <v>46226.46576388889</v>
      </c>
      <c r="G99" s="15" t="n">
        <v>46245.38356481482</v>
      </c>
      <c r="H99" s="8" t="n">
        <v>454</v>
      </c>
      <c r="I99" s="8" t="n">
        <v>18.9</v>
      </c>
      <c r="J99" s="16" t="inlineStr">
        <is>
          <t>2026-07</t>
        </is>
      </c>
      <c r="K99" s="16" t="n"/>
    </row>
    <row r="100">
      <c r="A100" s="3" t="inlineStr">
        <is>
          <t>INV00020620</t>
        </is>
      </c>
      <c r="B100" s="3" t="inlineStr">
        <is>
          <t>RESOLVED</t>
        </is>
      </c>
      <c r="C100" s="3" t="inlineStr">
        <is>
          <t>Ariba</t>
        </is>
      </c>
      <c r="D100" s="3" t="inlineStr">
        <is>
          <t>Fabrizio Rico del Mazo</t>
        </is>
      </c>
      <c r="E100" s="3" t="inlineStr">
        <is>
          <t>@dreimers</t>
        </is>
      </c>
      <c r="F100" s="15" t="n">
        <v>46226.64424768519</v>
      </c>
      <c r="G100" s="15" t="n">
        <v>46227.42974537037</v>
      </c>
      <c r="H100" s="8" t="n">
        <v>18.9</v>
      </c>
      <c r="I100" s="8" t="n">
        <v>0.8</v>
      </c>
      <c r="J100" s="16" t="inlineStr">
        <is>
          <t>2026-07</t>
        </is>
      </c>
      <c r="K100" s="16" t="n"/>
    </row>
    <row r="101">
      <c r="A101" s="3" t="inlineStr">
        <is>
          <t>QILNEW2139</t>
        </is>
      </c>
      <c r="B101" s="3" t="inlineStr">
        <is>
          <t>RESOLVED</t>
        </is>
      </c>
      <c r="C101" s="3" t="inlineStr">
        <is>
          <t>Chorus Pro</t>
        </is>
      </c>
      <c r="D101" s="3" t="inlineStr">
        <is>
          <t>Fabrizio Rico del Mazo</t>
        </is>
      </c>
      <c r="E101" s="3" t="inlineStr">
        <is>
          <t>@dreimers</t>
        </is>
      </c>
      <c r="F101" s="15" t="n">
        <v>46226.66737268519</v>
      </c>
      <c r="G101" s="15" t="n">
        <v>46227.57420138889</v>
      </c>
      <c r="H101" s="8" t="n">
        <v>21.8</v>
      </c>
      <c r="I101" s="8" t="n">
        <v>0.9</v>
      </c>
      <c r="J101" s="16" t="inlineStr">
        <is>
          <t>2026-07</t>
        </is>
      </c>
      <c r="K101" s="16" t="n"/>
    </row>
    <row r="102">
      <c r="A102" s="3" t="inlineStr">
        <is>
          <t>453627</t>
        </is>
      </c>
      <c r="B102" s="3" t="inlineStr">
        <is>
          <t>RESOLVED</t>
        </is>
      </c>
      <c r="C102" s="3" t="inlineStr">
        <is>
          <t>URL</t>
        </is>
      </c>
      <c r="D102" s="3" t="inlineStr">
        <is>
          <t>Nathan Smith</t>
        </is>
      </c>
      <c r="E102" s="3" t="inlineStr">
        <is>
          <t>@dreimers</t>
        </is>
      </c>
      <c r="F102" s="15" t="n">
        <v>46227.57715277778</v>
      </c>
      <c r="G102" s="15" t="n">
        <v>46245.38488425926</v>
      </c>
      <c r="H102" s="8" t="n">
        <v>427.4</v>
      </c>
      <c r="I102" s="8" t="n">
        <v>17.8</v>
      </c>
      <c r="J102" s="16" t="inlineStr">
        <is>
          <t>2026-07</t>
        </is>
      </c>
      <c r="K102" s="16" t="n"/>
    </row>
    <row r="103">
      <c r="A103" s="3" t="inlineStr">
        <is>
          <t>421511</t>
        </is>
      </c>
      <c r="B103" s="3" t="inlineStr">
        <is>
          <t>RESOLVED</t>
        </is>
      </c>
      <c r="C103" s="3" t="inlineStr">
        <is>
          <t>Coupa</t>
        </is>
      </c>
      <c r="D103" s="3" t="inlineStr">
        <is>
          <t>Saiyon Tanaka</t>
        </is>
      </c>
      <c r="E103" s="3" t="inlineStr">
        <is>
          <t>@dreimers</t>
        </is>
      </c>
      <c r="F103" s="15" t="n">
        <v>46229.83163194444</v>
      </c>
      <c r="G103" s="15" t="n">
        <v>46230.459375</v>
      </c>
      <c r="H103" s="8" t="n">
        <v>15.1</v>
      </c>
      <c r="I103" s="8" t="n">
        <v>0.6</v>
      </c>
      <c r="J103" s="16" t="inlineStr">
        <is>
          <t>2026-07</t>
        </is>
      </c>
      <c r="K103" s="16" t="n"/>
    </row>
    <row r="104">
      <c r="A104" s="3" t="inlineStr"/>
      <c r="B104" s="3" t="inlineStr">
        <is>
          <t>OPEN</t>
        </is>
      </c>
      <c r="C104" s="3" t="inlineStr">
        <is>
          <t>Sap Business Net</t>
        </is>
      </c>
      <c r="D104" s="3" t="inlineStr">
        <is>
          <t>Andres Prieto</t>
        </is>
      </c>
      <c r="E104" s="3" t="inlineStr"/>
      <c r="F104" s="15" t="n">
        <v>46230.40052083333</v>
      </c>
      <c r="G104" s="16" t="n"/>
      <c r="H104" s="8" t="n"/>
      <c r="I104" s="8" t="n"/>
      <c r="J104" s="16" t="inlineStr">
        <is>
          <t>2026-07</t>
        </is>
      </c>
      <c r="K104" s="7" t="n">
        <v>65</v>
      </c>
    </row>
    <row r="105">
      <c r="A105" s="3" t="inlineStr">
        <is>
          <t>PR740566</t>
        </is>
      </c>
      <c r="B105" s="3" t="inlineStr">
        <is>
          <t>RESOLVED</t>
        </is>
      </c>
      <c r="C105" s="3" t="inlineStr">
        <is>
          <t>Ariba</t>
        </is>
      </c>
      <c r="D105" s="3" t="inlineStr">
        <is>
          <t>Mariano Muniain</t>
        </is>
      </c>
      <c r="E105" s="3" t="inlineStr">
        <is>
          <t>@dreimers</t>
        </is>
      </c>
      <c r="F105" s="15" t="n">
        <v>46230.4122337963</v>
      </c>
      <c r="G105" s="15" t="n">
        <v>46230.49866898148</v>
      </c>
      <c r="H105" s="8" t="n">
        <v>2.1</v>
      </c>
      <c r="I105" s="8" t="n">
        <v>0.1</v>
      </c>
      <c r="J105" s="16" t="inlineStr">
        <is>
          <t>2026-07</t>
        </is>
      </c>
      <c r="K105" s="16" t="n"/>
    </row>
    <row r="106">
      <c r="A106" s="3" t="inlineStr">
        <is>
          <t>INV00023572</t>
        </is>
      </c>
      <c r="B106" s="3" t="inlineStr">
        <is>
          <t>RESOLVED</t>
        </is>
      </c>
      <c r="C106" s="3" t="inlineStr">
        <is>
          <t>Ariba</t>
        </is>
      </c>
      <c r="D106" s="3" t="inlineStr">
        <is>
          <t>Pamella Covarrubias</t>
        </is>
      </c>
      <c r="E106" s="3" t="inlineStr">
        <is>
          <t>@dreimers</t>
        </is>
      </c>
      <c r="F106" s="15" t="n">
        <v>46230.44018518519</v>
      </c>
      <c r="G106" s="15" t="n">
        <v>46230.47216435185</v>
      </c>
      <c r="H106" s="8" t="n">
        <v>0.8</v>
      </c>
      <c r="I106" s="8" t="n">
        <v>0</v>
      </c>
      <c r="J106" s="16" t="inlineStr">
        <is>
          <t>2026-07</t>
        </is>
      </c>
      <c r="K106" s="16" t="n"/>
    </row>
    <row r="107">
      <c r="A107" s="3" t="inlineStr">
        <is>
          <t>INV00020848</t>
        </is>
      </c>
      <c r="B107" s="3" t="inlineStr">
        <is>
          <t>RESOLVED</t>
        </is>
      </c>
      <c r="C107" s="3" t="inlineStr">
        <is>
          <t>Ariba</t>
        </is>
      </c>
      <c r="D107" s="3" t="inlineStr">
        <is>
          <t>Fernando Anaya</t>
        </is>
      </c>
      <c r="E107" s="3" t="inlineStr">
        <is>
          <t>@dreimers</t>
        </is>
      </c>
      <c r="F107" s="15" t="n">
        <v>46231.34134259259</v>
      </c>
      <c r="G107" s="15" t="n">
        <v>46231.34666666666</v>
      </c>
      <c r="H107" s="8" t="n">
        <v>0.1</v>
      </c>
      <c r="I107" s="8" t="n">
        <v>0</v>
      </c>
      <c r="J107" s="16" t="inlineStr">
        <is>
          <t>2026-07</t>
        </is>
      </c>
      <c r="K107" s="16" t="n"/>
    </row>
    <row r="108">
      <c r="A108" s="3" t="inlineStr">
        <is>
          <t>INV00023030</t>
        </is>
      </c>
      <c r="B108" s="3" t="inlineStr">
        <is>
          <t>RESOLVED</t>
        </is>
      </c>
      <c r="C108" s="3" t="inlineStr">
        <is>
          <t>Transcepta</t>
        </is>
      </c>
      <c r="D108" s="3" t="inlineStr">
        <is>
          <t>Viki Kovaliv</t>
        </is>
      </c>
      <c r="E108" s="3" t="inlineStr">
        <is>
          <t>@dreimers</t>
        </is>
      </c>
      <c r="F108" s="15" t="n">
        <v>46232.5343287037</v>
      </c>
      <c r="G108" s="15" t="n">
        <v>46232.57114583333</v>
      </c>
      <c r="H108" s="8" t="n">
        <v>0.9</v>
      </c>
      <c r="I108" s="8" t="n">
        <v>0</v>
      </c>
      <c r="J108" s="16" t="inlineStr">
        <is>
          <t>2026-07</t>
        </is>
      </c>
      <c r="K108" s="16" t="n"/>
    </row>
    <row r="109">
      <c r="A109" s="3" t="inlineStr">
        <is>
          <t>INV00024052</t>
        </is>
      </c>
      <c r="B109" s="3" t="inlineStr">
        <is>
          <t>RESOLVED</t>
        </is>
      </c>
      <c r="C109" s="3" t="inlineStr">
        <is>
          <t>Ariba</t>
        </is>
      </c>
      <c r="D109" s="3" t="inlineStr">
        <is>
          <t>Andrea Juarez</t>
        </is>
      </c>
      <c r="E109" s="3" t="inlineStr">
        <is>
          <t>@dreimers</t>
        </is>
      </c>
      <c r="F109" s="15" t="n">
        <v>46232.56387731482</v>
      </c>
      <c r="G109" s="15" t="n">
        <v>46232.58498842592</v>
      </c>
      <c r="H109" s="8" t="n">
        <v>0.5</v>
      </c>
      <c r="I109" s="8" t="n">
        <v>0</v>
      </c>
      <c r="J109" s="16" t="inlineStr">
        <is>
          <t>2026-07</t>
        </is>
      </c>
      <c r="K109" s="16" t="n"/>
    </row>
    <row r="110">
      <c r="A110" s="3" t="inlineStr">
        <is>
          <t>465215</t>
        </is>
      </c>
      <c r="B110" s="3" t="inlineStr">
        <is>
          <t>RESOLVED</t>
        </is>
      </c>
      <c r="C110" s="3" t="inlineStr">
        <is>
          <t>Ap National Secu</t>
        </is>
      </c>
      <c r="D110" s="3" t="inlineStr">
        <is>
          <t>Sebastian Novelo</t>
        </is>
      </c>
      <c r="E110" s="3" t="inlineStr">
        <is>
          <t>@dreimers</t>
        </is>
      </c>
      <c r="F110" s="15" t="n">
        <v>46232.61777777778</v>
      </c>
      <c r="G110" s="15" t="n">
        <v>46233.34712962963</v>
      </c>
      <c r="H110" s="8" t="n">
        <v>17.5</v>
      </c>
      <c r="I110" s="8" t="n">
        <v>0.7</v>
      </c>
      <c r="J110" s="16" t="inlineStr">
        <is>
          <t>2026-07</t>
        </is>
      </c>
      <c r="K110" s="16" t="n"/>
    </row>
    <row r="111">
      <c r="A111" s="3" t="inlineStr">
        <is>
          <t>INV00024404</t>
        </is>
      </c>
      <c r="B111" s="3" t="inlineStr">
        <is>
          <t>RESOLVED</t>
        </is>
      </c>
      <c r="C111" s="3" t="inlineStr">
        <is>
          <t>Ariba</t>
        </is>
      </c>
      <c r="D111" s="3" t="inlineStr">
        <is>
          <t>Jose Novelo</t>
        </is>
      </c>
      <c r="E111" s="3" t="inlineStr">
        <is>
          <t>@dreimers</t>
        </is>
      </c>
      <c r="F111" s="15" t="n">
        <v>46232.68881944445</v>
      </c>
      <c r="G111" s="15" t="n">
        <v>46233.3384375</v>
      </c>
      <c r="H111" s="8" t="n">
        <v>15.6</v>
      </c>
      <c r="I111" s="8" t="n">
        <v>0.6</v>
      </c>
      <c r="J111" s="16" t="inlineStr">
        <is>
          <t>2026-07</t>
        </is>
      </c>
      <c r="K111" s="16" t="n"/>
    </row>
    <row r="112">
      <c r="A112" s="3" t="inlineStr">
        <is>
          <t>INV00023868</t>
        </is>
      </c>
      <c r="B112" s="3" t="inlineStr">
        <is>
          <t>RESOLVED</t>
        </is>
      </c>
      <c r="C112" s="3" t="inlineStr">
        <is>
          <t>Ariba</t>
        </is>
      </c>
      <c r="D112" s="3" t="inlineStr">
        <is>
          <t>Fernando Anaya</t>
        </is>
      </c>
      <c r="E112" s="3" t="inlineStr">
        <is>
          <t>@dreimers</t>
        </is>
      </c>
      <c r="F112" s="15" t="n">
        <v>46233.47881944444</v>
      </c>
      <c r="G112" s="15" t="n">
        <v>46233.56813657407</v>
      </c>
      <c r="H112" s="8" t="n">
        <v>2.1</v>
      </c>
      <c r="I112" s="8" t="n">
        <v>0.1</v>
      </c>
      <c r="J112" s="16" t="inlineStr">
        <is>
          <t>2026-07</t>
        </is>
      </c>
      <c r="K112" s="16" t="n"/>
    </row>
    <row r="113">
      <c r="A113" s="3" t="inlineStr"/>
      <c r="B113" s="3" t="inlineStr">
        <is>
          <t>RESOLVED</t>
        </is>
      </c>
      <c r="C113" s="3" t="inlineStr">
        <is>
          <t>Ariba</t>
        </is>
      </c>
      <c r="D113" s="3" t="inlineStr">
        <is>
          <t>Mario Cortés</t>
        </is>
      </c>
      <c r="E113" s="3" t="inlineStr">
        <is>
          <t>@dreimers</t>
        </is>
      </c>
      <c r="F113" s="15" t="n">
        <v>46233.64915509259</v>
      </c>
      <c r="G113" s="15" t="n">
        <v>46234.42414351852</v>
      </c>
      <c r="H113" s="8" t="n">
        <v>18.6</v>
      </c>
      <c r="I113" s="8" t="n">
        <v>0.8</v>
      </c>
      <c r="J113" s="16" t="inlineStr">
        <is>
          <t>2026-07</t>
        </is>
      </c>
      <c r="K113" s="16" t="n"/>
    </row>
    <row r="114">
      <c r="A114" s="3" t="inlineStr">
        <is>
          <t>470461</t>
        </is>
      </c>
      <c r="B114" s="3" t="inlineStr">
        <is>
          <t>RESOLVED</t>
        </is>
      </c>
      <c r="C114" s="3" t="inlineStr">
        <is>
          <t>Transcepta</t>
        </is>
      </c>
      <c r="D114" s="3" t="inlineStr">
        <is>
          <t>Aity Sánchez Sandoval</t>
        </is>
      </c>
      <c r="E114" s="3" t="inlineStr"/>
      <c r="F114" s="15" t="n">
        <v>46233.68688657408</v>
      </c>
      <c r="G114" s="15" t="n">
        <v>46234.4259837963</v>
      </c>
      <c r="H114" s="8" t="n">
        <v>17.7</v>
      </c>
      <c r="I114" s="8" t="n">
        <v>0.7</v>
      </c>
      <c r="J114" s="16" t="inlineStr">
        <is>
          <t>2026-07</t>
        </is>
      </c>
      <c r="K114" s="16" t="n"/>
    </row>
    <row r="115">
      <c r="A115" s="3" t="inlineStr">
        <is>
          <t>465369</t>
        </is>
      </c>
      <c r="B115" s="3" t="inlineStr">
        <is>
          <t>RESOLVED</t>
        </is>
      </c>
      <c r="C115" s="3" t="inlineStr">
        <is>
          <t>Transcepta</t>
        </is>
      </c>
      <c r="D115" s="3" t="inlineStr">
        <is>
          <t>Aity Sánchez Sandoval</t>
        </is>
      </c>
      <c r="E115" s="3" t="inlineStr">
        <is>
          <t>@dreimers</t>
        </is>
      </c>
      <c r="F115" s="15" t="n">
        <v>46233.68875</v>
      </c>
      <c r="G115" s="15" t="n">
        <v>46234.4265162037</v>
      </c>
      <c r="H115" s="8" t="n">
        <v>17.7</v>
      </c>
      <c r="I115" s="8" t="n">
        <v>0.7</v>
      </c>
      <c r="J115" s="16" t="inlineStr">
        <is>
          <t>2026-07</t>
        </is>
      </c>
      <c r="K115" s="16" t="n"/>
    </row>
    <row r="116">
      <c r="A116" s="3" t="inlineStr"/>
      <c r="B116" s="3" t="inlineStr">
        <is>
          <t>RESOLVED</t>
        </is>
      </c>
      <c r="C116" s="3" t="inlineStr">
        <is>
          <t>Ariba</t>
        </is>
      </c>
      <c r="D116" s="3" t="inlineStr">
        <is>
          <t>Vamshi Dacha</t>
        </is>
      </c>
      <c r="E116" s="3" t="inlineStr">
        <is>
          <t>@dreimers</t>
        </is>
      </c>
      <c r="F116" s="15" t="n">
        <v>46234.34726851852</v>
      </c>
      <c r="G116" s="15" t="n">
        <v>46234.36974537037</v>
      </c>
      <c r="H116" s="8" t="n">
        <v>0.5</v>
      </c>
      <c r="I116" s="8" t="n">
        <v>0</v>
      </c>
      <c r="J116" s="16" t="inlineStr">
        <is>
          <t>2026-07</t>
        </is>
      </c>
      <c r="K116" s="16" t="n"/>
    </row>
    <row r="117">
      <c r="A117" s="3" t="inlineStr">
        <is>
          <t>INV00023786</t>
        </is>
      </c>
      <c r="B117" s="3" t="inlineStr">
        <is>
          <t>RESOLVED</t>
        </is>
      </c>
      <c r="C117" s="3" t="inlineStr">
        <is>
          <t>Taulia</t>
        </is>
      </c>
      <c r="D117" s="3" t="inlineStr">
        <is>
          <t>Daniela Gomez Viscaino</t>
        </is>
      </c>
      <c r="E117" s="3" t="inlineStr">
        <is>
          <t>@dreimers</t>
        </is>
      </c>
      <c r="F117" s="15" t="n">
        <v>46234.50334490741</v>
      </c>
      <c r="G117" s="15" t="n">
        <v>46234.51201388889</v>
      </c>
      <c r="H117" s="8" t="n">
        <v>0.2</v>
      </c>
      <c r="I117" s="8" t="n">
        <v>0</v>
      </c>
      <c r="J117" s="16" t="inlineStr">
        <is>
          <t>2026-07</t>
        </is>
      </c>
      <c r="K117" s="16" t="n"/>
    </row>
    <row r="118">
      <c r="A118" s="3" t="inlineStr">
        <is>
          <t>INV00023795</t>
        </is>
      </c>
      <c r="B118" s="3" t="inlineStr">
        <is>
          <t>RESOLVED</t>
        </is>
      </c>
      <c r="C118" s="3" t="inlineStr">
        <is>
          <t>Ariba</t>
        </is>
      </c>
      <c r="D118" s="3" t="inlineStr">
        <is>
          <t>Daniela Gomez Viscaino</t>
        </is>
      </c>
      <c r="E118" s="3" t="inlineStr">
        <is>
          <t>@dreimers</t>
        </is>
      </c>
      <c r="F118" s="15" t="n">
        <v>46234.50680555555</v>
      </c>
      <c r="G118" s="15" t="n">
        <v>46234.51248842593</v>
      </c>
      <c r="H118" s="8" t="n">
        <v>0.1</v>
      </c>
      <c r="I118" s="8" t="n">
        <v>0</v>
      </c>
      <c r="J118" s="16" t="inlineStr">
        <is>
          <t>2026-07</t>
        </is>
      </c>
      <c r="K118" s="16" t="n"/>
    </row>
    <row r="119">
      <c r="A119" s="3" t="inlineStr">
        <is>
          <t>INV00024825</t>
        </is>
      </c>
      <c r="B119" s="3" t="inlineStr">
        <is>
          <t>RESOLVED</t>
        </is>
      </c>
      <c r="C119" s="3" t="inlineStr">
        <is>
          <t>Ariba</t>
        </is>
      </c>
      <c r="D119" s="3" t="inlineStr">
        <is>
          <t>Cindy Espinola</t>
        </is>
      </c>
      <c r="E119" s="3" t="inlineStr">
        <is>
          <t>@dreimers</t>
        </is>
      </c>
      <c r="F119" s="15" t="n">
        <v>46234.55799768519</v>
      </c>
      <c r="G119" s="15" t="n">
        <v>46234.58166666667</v>
      </c>
      <c r="H119" s="8" t="n">
        <v>0.6</v>
      </c>
      <c r="I119" s="8" t="n">
        <v>0</v>
      </c>
      <c r="J119" s="16" t="inlineStr">
        <is>
          <t>2026-07</t>
        </is>
      </c>
      <c r="K119" s="16" t="n"/>
    </row>
    <row r="120">
      <c r="A120" s="3" t="inlineStr">
        <is>
          <t>INV00024822</t>
        </is>
      </c>
      <c r="B120" s="3" t="inlineStr">
        <is>
          <t>RESOLVED</t>
        </is>
      </c>
      <c r="C120" s="3" t="inlineStr">
        <is>
          <t>Ariba</t>
        </is>
      </c>
      <c r="D120" s="3" t="inlineStr">
        <is>
          <t>Cindy Espinola</t>
        </is>
      </c>
      <c r="E120" s="3" t="inlineStr">
        <is>
          <t>@dreimers</t>
        </is>
      </c>
      <c r="F120" s="15" t="n">
        <v>46234.56266203704</v>
      </c>
      <c r="G120" s="15" t="n">
        <v>46234.58244212963</v>
      </c>
      <c r="H120" s="8" t="n">
        <v>0.5</v>
      </c>
      <c r="I120" s="8" t="n">
        <v>0</v>
      </c>
      <c r="J120" s="16" t="inlineStr">
        <is>
          <t>2026-07</t>
        </is>
      </c>
      <c r="K120" s="16" t="n"/>
    </row>
    <row r="121">
      <c r="A121" s="3" t="inlineStr">
        <is>
          <t>INV00024823</t>
        </is>
      </c>
      <c r="B121" s="3" t="inlineStr">
        <is>
          <t>RESOLVED</t>
        </is>
      </c>
      <c r="C121" s="3" t="inlineStr">
        <is>
          <t>Ariba</t>
        </is>
      </c>
      <c r="D121" s="3" t="inlineStr">
        <is>
          <t>Cindy Espinola</t>
        </is>
      </c>
      <c r="E121" s="3" t="inlineStr">
        <is>
          <t>@dreimers</t>
        </is>
      </c>
      <c r="F121" s="15" t="n">
        <v>46234.56790509259</v>
      </c>
      <c r="G121" s="15" t="n">
        <v>46234.58293981481</v>
      </c>
      <c r="H121" s="8" t="n">
        <v>0.4</v>
      </c>
      <c r="I121" s="8" t="n">
        <v>0</v>
      </c>
      <c r="J121" s="16" t="inlineStr">
        <is>
          <t>2026-07</t>
        </is>
      </c>
      <c r="K121" s="16" t="n"/>
    </row>
    <row r="122">
      <c r="A122" s="3" t="inlineStr">
        <is>
          <t>INV00024709</t>
        </is>
      </c>
      <c r="B122" s="3" t="inlineStr">
        <is>
          <t>RESOLVED</t>
        </is>
      </c>
      <c r="C122" s="3" t="inlineStr">
        <is>
          <t>Ariba</t>
        </is>
      </c>
      <c r="D122" s="3" t="inlineStr">
        <is>
          <t>Andrea Juarez</t>
        </is>
      </c>
      <c r="E122" s="3" t="inlineStr">
        <is>
          <t>@dreimers</t>
        </is>
      </c>
      <c r="F122" s="15" t="n">
        <v>46234.5775462963</v>
      </c>
      <c r="G122" s="15" t="n">
        <v>46234.58412037037</v>
      </c>
      <c r="H122" s="8" t="n">
        <v>0.2</v>
      </c>
      <c r="I122" s="8" t="n">
        <v>0</v>
      </c>
      <c r="J122" s="16" t="inlineStr">
        <is>
          <t>2026-07</t>
        </is>
      </c>
      <c r="K122" s="16" t="n"/>
    </row>
    <row r="123">
      <c r="A123" s="3" t="inlineStr">
        <is>
          <t>398434</t>
        </is>
      </c>
      <c r="B123" s="3" t="inlineStr">
        <is>
          <t>RESOLVED</t>
        </is>
      </c>
      <c r="C123" s="3" t="inlineStr">
        <is>
          <t>URL</t>
        </is>
      </c>
      <c r="D123" s="3" t="inlineStr">
        <is>
          <t>Nathan Smith</t>
        </is>
      </c>
      <c r="E123" s="3" t="inlineStr">
        <is>
          <t>@dreimers</t>
        </is>
      </c>
      <c r="F123" s="15" t="n">
        <v>46237.4615625</v>
      </c>
      <c r="G123" s="15" t="n">
        <v>46245.38563657407</v>
      </c>
      <c r="H123" s="8" t="n">
        <v>190.2</v>
      </c>
      <c r="I123" s="8" t="n">
        <v>7.9</v>
      </c>
      <c r="J123" s="16" t="inlineStr">
        <is>
          <t>2026-08</t>
        </is>
      </c>
      <c r="K123" s="16" t="n"/>
    </row>
    <row r="124">
      <c r="A124" s="3" t="inlineStr">
        <is>
          <t>434853</t>
        </is>
      </c>
      <c r="B124" s="3" t="inlineStr">
        <is>
          <t>RESOLVED</t>
        </is>
      </c>
      <c r="C124" s="3" t="inlineStr">
        <is>
          <t>URL</t>
        </is>
      </c>
      <c r="D124" s="3" t="inlineStr">
        <is>
          <t>Nathan Smith</t>
        </is>
      </c>
      <c r="E124" s="3" t="inlineStr">
        <is>
          <t>@dreimers</t>
        </is>
      </c>
      <c r="F124" s="15" t="n">
        <v>46237.46380787037</v>
      </c>
      <c r="G124" s="15" t="n">
        <v>46245.38638888889</v>
      </c>
      <c r="H124" s="8" t="n">
        <v>190.1</v>
      </c>
      <c r="I124" s="8" t="n">
        <v>7.9</v>
      </c>
      <c r="J124" s="16" t="inlineStr">
        <is>
          <t>2026-08</t>
        </is>
      </c>
      <c r="K124" s="16" t="n"/>
    </row>
    <row r="125">
      <c r="A125" s="3" t="inlineStr">
        <is>
          <t>INV00023868</t>
        </is>
      </c>
      <c r="B125" s="3" t="inlineStr">
        <is>
          <t>RESOLVED</t>
        </is>
      </c>
      <c r="C125" s="3" t="inlineStr">
        <is>
          <t>Ariba</t>
        </is>
      </c>
      <c r="D125" s="3" t="inlineStr">
        <is>
          <t>Fernando Anaya</t>
        </is>
      </c>
      <c r="E125" s="3" t="inlineStr">
        <is>
          <t>@dreimers</t>
        </is>
      </c>
      <c r="F125" s="15" t="n">
        <v>46238.47074074074</v>
      </c>
      <c r="G125" s="15" t="n">
        <v>46238.50366898148</v>
      </c>
      <c r="H125" s="8" t="n">
        <v>0.8</v>
      </c>
      <c r="I125" s="8" t="n">
        <v>0</v>
      </c>
      <c r="J125" s="16" t="inlineStr">
        <is>
          <t>2026-08</t>
        </is>
      </c>
      <c r="K125" s="16" t="n"/>
    </row>
    <row r="126">
      <c r="A126" s="3" t="inlineStr">
        <is>
          <t>INV00022989</t>
        </is>
      </c>
      <c r="B126" s="3" t="inlineStr">
        <is>
          <t>RESOLVED</t>
        </is>
      </c>
      <c r="C126" s="3" t="inlineStr">
        <is>
          <t>Coupa</t>
        </is>
      </c>
      <c r="D126" s="3" t="inlineStr">
        <is>
          <t>Fernando Anaya</t>
        </is>
      </c>
      <c r="E126" s="3" t="inlineStr">
        <is>
          <t>@dreimers</t>
        </is>
      </c>
      <c r="F126" s="15" t="n">
        <v>46238.49252314815</v>
      </c>
      <c r="G126" s="15" t="n">
        <v>46238.50547453704</v>
      </c>
      <c r="H126" s="8" t="n">
        <v>0.3</v>
      </c>
      <c r="I126" s="8" t="n">
        <v>0</v>
      </c>
      <c r="J126" s="16" t="inlineStr">
        <is>
          <t>2026-08</t>
        </is>
      </c>
      <c r="K126" s="16" t="n"/>
    </row>
    <row r="127">
      <c r="A127" s="3" t="inlineStr">
        <is>
          <t>INV00025400</t>
        </is>
      </c>
      <c r="B127" s="3" t="inlineStr">
        <is>
          <t>RESOLVED</t>
        </is>
      </c>
      <c r="C127" s="3" t="inlineStr">
        <is>
          <t>Ariba</t>
        </is>
      </c>
      <c r="D127" s="3" t="inlineStr">
        <is>
          <t>Diego Cué Vázquez</t>
        </is>
      </c>
      <c r="E127" s="3" t="inlineStr">
        <is>
          <t>@dreimers</t>
        </is>
      </c>
      <c r="F127" s="15" t="n">
        <v>46238.55826388889</v>
      </c>
      <c r="G127" s="15" t="n">
        <v>46238.58211805556</v>
      </c>
      <c r="H127" s="8" t="n">
        <v>0.6</v>
      </c>
      <c r="I127" s="8" t="n">
        <v>0</v>
      </c>
      <c r="J127" s="16" t="inlineStr">
        <is>
          <t>2026-08</t>
        </is>
      </c>
      <c r="K127" s="16" t="n"/>
    </row>
    <row r="128">
      <c r="A128" s="3" t="inlineStr">
        <is>
          <t>468617</t>
        </is>
      </c>
      <c r="B128" s="3" t="inlineStr">
        <is>
          <t>RESOLVED</t>
        </is>
      </c>
      <c r="C128" s="3" t="inlineStr">
        <is>
          <t>Ariba</t>
        </is>
      </c>
      <c r="D128" s="3" t="inlineStr">
        <is>
          <t>Maria Granja</t>
        </is>
      </c>
      <c r="E128" s="3" t="inlineStr">
        <is>
          <t>@dreimers</t>
        </is>
      </c>
      <c r="F128" s="15" t="n">
        <v>46238.62664351852</v>
      </c>
      <c r="G128" s="15" t="n">
        <v>46245.38673611111</v>
      </c>
      <c r="H128" s="8" t="n">
        <v>162.2</v>
      </c>
      <c r="I128" s="8" t="n">
        <v>6.8</v>
      </c>
      <c r="J128" s="16" t="inlineStr">
        <is>
          <t>2026-08</t>
        </is>
      </c>
      <c r="K128" s="16" t="n"/>
    </row>
    <row r="129">
      <c r="A129" s="3" t="inlineStr"/>
      <c r="B129" s="3" t="inlineStr">
        <is>
          <t>RESOLVED</t>
        </is>
      </c>
      <c r="C129" s="3" t="inlineStr">
        <is>
          <t>Ariba</t>
        </is>
      </c>
      <c r="D129" s="3" t="inlineStr">
        <is>
          <t>Mario Cortés</t>
        </is>
      </c>
      <c r="E129" s="3" t="inlineStr">
        <is>
          <t>@dreimers</t>
        </is>
      </c>
      <c r="F129" s="15" t="n">
        <v>46238.93368055556</v>
      </c>
      <c r="G129" s="15" t="n">
        <v>46239.45921296296</v>
      </c>
      <c r="H129" s="8" t="n">
        <v>12.6</v>
      </c>
      <c r="I129" s="8" t="n">
        <v>0.5</v>
      </c>
      <c r="J129" s="16" t="inlineStr">
        <is>
          <t>2026-08</t>
        </is>
      </c>
      <c r="K129" s="16" t="n"/>
    </row>
    <row r="130">
      <c r="A130" s="3" t="inlineStr">
        <is>
          <t>INV00024404</t>
        </is>
      </c>
      <c r="B130" s="3" t="inlineStr">
        <is>
          <t>RESOLVED</t>
        </is>
      </c>
      <c r="C130" s="3" t="inlineStr">
        <is>
          <t>Ariba</t>
        </is>
      </c>
      <c r="D130" s="3" t="inlineStr">
        <is>
          <t>Abril Marmolejo Portillo</t>
        </is>
      </c>
      <c r="E130" s="3" t="inlineStr">
        <is>
          <t>@dreimers</t>
        </is>
      </c>
      <c r="F130" s="15" t="n">
        <v>46239.46561342593</v>
      </c>
      <c r="G130" s="15" t="n">
        <v>46239.47231481481</v>
      </c>
      <c r="H130" s="8" t="n">
        <v>0.2</v>
      </c>
      <c r="I130" s="8" t="n">
        <v>0</v>
      </c>
      <c r="J130" s="16" t="inlineStr">
        <is>
          <t>2026-08</t>
        </is>
      </c>
      <c r="K130" s="16" t="n"/>
    </row>
    <row r="131">
      <c r="A131" s="3" t="inlineStr">
        <is>
          <t>INV00022895</t>
        </is>
      </c>
      <c r="B131" s="3" t="inlineStr">
        <is>
          <t>RESOLVED</t>
        </is>
      </c>
      <c r="C131" s="3" t="inlineStr">
        <is>
          <t>Coupa</t>
        </is>
      </c>
      <c r="D131" s="3" t="inlineStr">
        <is>
          <t>Fernando Anaya</t>
        </is>
      </c>
      <c r="E131" s="3" t="inlineStr">
        <is>
          <t>@dreimers</t>
        </is>
      </c>
      <c r="F131" s="15" t="n">
        <v>46240.3875</v>
      </c>
      <c r="G131" s="15" t="n">
        <v>46240.38952546296</v>
      </c>
      <c r="H131" s="8" t="n">
        <v>0</v>
      </c>
      <c r="I131" s="8" t="n">
        <v>0</v>
      </c>
      <c r="J131" s="16" t="inlineStr">
        <is>
          <t>2026-08</t>
        </is>
      </c>
      <c r="K131" s="16" t="n"/>
    </row>
    <row r="132">
      <c r="A132" s="3" t="inlineStr">
        <is>
          <t>471590</t>
        </is>
      </c>
      <c r="B132" s="3" t="inlineStr">
        <is>
          <t>RESOLVED</t>
        </is>
      </c>
      <c r="C132" s="3" t="inlineStr">
        <is>
          <t>Oracle</t>
        </is>
      </c>
      <c r="D132" s="3" t="inlineStr">
        <is>
          <t>Paulina Paredes Fernández Turueño</t>
        </is>
      </c>
      <c r="E132" s="3" t="inlineStr">
        <is>
          <t>@dreimers</t>
        </is>
      </c>
      <c r="F132" s="15" t="n">
        <v>46241.59113425926</v>
      </c>
      <c r="G132" s="15" t="n">
        <v>46245.38721064815</v>
      </c>
      <c r="H132" s="8" t="n">
        <v>91.09999999999999</v>
      </c>
      <c r="I132" s="8" t="n">
        <v>3.8</v>
      </c>
      <c r="J132" s="16" t="inlineStr">
        <is>
          <t>2026-08</t>
        </is>
      </c>
      <c r="K132" s="16" t="n"/>
    </row>
    <row r="133">
      <c r="A133" s="3" t="inlineStr">
        <is>
          <t>INV00021780</t>
        </is>
      </c>
      <c r="B133" s="3" t="inlineStr">
        <is>
          <t>RESOLVED</t>
        </is>
      </c>
      <c r="C133" s="3" t="inlineStr">
        <is>
          <t>Coupa</t>
        </is>
      </c>
      <c r="D133" s="3" t="inlineStr">
        <is>
          <t>Fernando Anaya</t>
        </is>
      </c>
      <c r="E133" s="3" t="inlineStr">
        <is>
          <t>@dreimers</t>
        </is>
      </c>
      <c r="F133" s="15" t="n">
        <v>46245.4477662037</v>
      </c>
      <c r="G133" s="15" t="n">
        <v>46245.48166666667</v>
      </c>
      <c r="H133" s="8" t="n">
        <v>0.8</v>
      </c>
      <c r="I133" s="8" t="n">
        <v>0</v>
      </c>
      <c r="J133" s="16" t="inlineStr">
        <is>
          <t>2026-08</t>
        </is>
      </c>
      <c r="K133" s="16" t="n"/>
    </row>
    <row r="134">
      <c r="A134" s="3" t="inlineStr">
        <is>
          <t>Best Buy MR Invoice</t>
        </is>
      </c>
      <c r="B134" s="3" t="inlineStr">
        <is>
          <t>RESOLVED</t>
        </is>
      </c>
      <c r="C134" s="3" t="inlineStr">
        <is>
          <t>Ariba</t>
        </is>
      </c>
      <c r="D134" s="3" t="inlineStr">
        <is>
          <t>Dan Deming</t>
        </is>
      </c>
      <c r="E134" s="3" t="inlineStr">
        <is>
          <t>@dreimers</t>
        </is>
      </c>
      <c r="F134" s="15" t="n">
        <v>46245.46525462963</v>
      </c>
      <c r="G134" s="15" t="n">
        <v>46246.60392361111</v>
      </c>
      <c r="H134" s="8" t="n">
        <v>27.3</v>
      </c>
      <c r="I134" s="8" t="n">
        <v>1.1</v>
      </c>
      <c r="J134" s="16" t="inlineStr">
        <is>
          <t>2026-08</t>
        </is>
      </c>
      <c r="K134" s="16" t="n"/>
    </row>
    <row r="135">
      <c r="A135" s="3" t="inlineStr">
        <is>
          <t>INV00025297</t>
        </is>
      </c>
      <c r="B135" s="3" t="inlineStr">
        <is>
          <t>RESOLVED</t>
        </is>
      </c>
      <c r="C135" s="3" t="inlineStr">
        <is>
          <t>Coupa</t>
        </is>
      </c>
      <c r="D135" s="3" t="inlineStr">
        <is>
          <t>Andrea Juarez</t>
        </is>
      </c>
      <c r="E135" s="3" t="inlineStr">
        <is>
          <t>@dreimers</t>
        </is>
      </c>
      <c r="F135" s="15" t="n">
        <v>46246.55400462963</v>
      </c>
      <c r="G135" s="15" t="n">
        <v>46246.60730324074</v>
      </c>
      <c r="H135" s="8" t="n">
        <v>1.3</v>
      </c>
      <c r="I135" s="8" t="n">
        <v>0.1</v>
      </c>
      <c r="J135" s="16" t="inlineStr">
        <is>
          <t>2026-08</t>
        </is>
      </c>
      <c r="K135" s="16" t="n"/>
    </row>
    <row r="136">
      <c r="A136" s="3" t="inlineStr">
        <is>
          <t>INV00025767</t>
        </is>
      </c>
      <c r="B136" s="3" t="inlineStr">
        <is>
          <t>RESOLVED</t>
        </is>
      </c>
      <c r="C136" s="3" t="inlineStr">
        <is>
          <t>Ariba</t>
        </is>
      </c>
      <c r="D136" s="3" t="inlineStr">
        <is>
          <t>Andrea Juarez</t>
        </is>
      </c>
      <c r="E136" s="3" t="inlineStr">
        <is>
          <t>@dreimers</t>
        </is>
      </c>
      <c r="F136" s="15" t="n">
        <v>46246.55527777778</v>
      </c>
      <c r="G136" s="15" t="n">
        <v>46246.61056712963</v>
      </c>
      <c r="H136" s="8" t="n">
        <v>1.3</v>
      </c>
      <c r="I136" s="8" t="n">
        <v>0.1</v>
      </c>
      <c r="J136" s="16" t="inlineStr">
        <is>
          <t>2026-08</t>
        </is>
      </c>
      <c r="K136" s="16" t="n"/>
    </row>
    <row r="137">
      <c r="A137" s="3" t="inlineStr">
        <is>
          <t>INV00025534</t>
        </is>
      </c>
      <c r="B137" s="3" t="inlineStr">
        <is>
          <t>RESOLVED</t>
        </is>
      </c>
      <c r="C137" s="3" t="inlineStr">
        <is>
          <t>Coupa</t>
        </is>
      </c>
      <c r="D137" s="3" t="inlineStr">
        <is>
          <t>Mario Cortés</t>
        </is>
      </c>
      <c r="E137" s="3" t="inlineStr">
        <is>
          <t>@aprilj</t>
        </is>
      </c>
      <c r="F137" s="15" t="n">
        <v>46247.40533564815</v>
      </c>
      <c r="G137" s="15" t="n">
        <v>46247.41260416667</v>
      </c>
      <c r="H137" s="8" t="n">
        <v>0.2</v>
      </c>
      <c r="I137" s="8" t="n">
        <v>0</v>
      </c>
      <c r="J137" s="16" t="inlineStr">
        <is>
          <t>2026-08</t>
        </is>
      </c>
      <c r="K137" s="16" t="n"/>
    </row>
    <row r="138">
      <c r="A138" s="3" t="inlineStr">
        <is>
          <t>INV00026113</t>
        </is>
      </c>
      <c r="B138" s="3" t="inlineStr">
        <is>
          <t>RESOLVED</t>
        </is>
      </c>
      <c r="C138" s="3" t="inlineStr">
        <is>
          <t>Ariba</t>
        </is>
      </c>
      <c r="D138" s="3" t="inlineStr">
        <is>
          <t>Cindy Espinola</t>
        </is>
      </c>
      <c r="E138" s="3" t="inlineStr">
        <is>
          <t>@aprilj</t>
        </is>
      </c>
      <c r="F138" s="15" t="n">
        <v>46247.45466435186</v>
      </c>
      <c r="G138" s="15" t="n">
        <v>46247.55512731482</v>
      </c>
      <c r="H138" s="8" t="n">
        <v>2.4</v>
      </c>
      <c r="I138" s="8" t="n">
        <v>0.1</v>
      </c>
      <c r="J138" s="16" t="inlineStr">
        <is>
          <t>2026-08</t>
        </is>
      </c>
      <c r="K138" s="16" t="n"/>
    </row>
    <row r="139">
      <c r="A139" s="3" t="inlineStr">
        <is>
          <t>466580</t>
        </is>
      </c>
      <c r="B139" s="3" t="inlineStr">
        <is>
          <t>RESOLVED</t>
        </is>
      </c>
      <c r="C139" s="3" t="inlineStr">
        <is>
          <t>Www.Vendors.Gov.</t>
        </is>
      </c>
      <c r="D139" s="3" t="inlineStr">
        <is>
          <t>Mario Cortés</t>
        </is>
      </c>
      <c r="E139" s="3" t="inlineStr">
        <is>
          <t>@dreimers</t>
        </is>
      </c>
      <c r="F139" s="15" t="n">
        <v>46247.58409722222</v>
      </c>
      <c r="G139" s="15" t="n">
        <v>46266.73827546297</v>
      </c>
      <c r="H139" s="8" t="n">
        <v>459.7</v>
      </c>
      <c r="I139" s="8" t="n">
        <v>19.2</v>
      </c>
      <c r="J139" s="16" t="inlineStr">
        <is>
          <t>2026-08</t>
        </is>
      </c>
      <c r="K139" s="16" t="n"/>
    </row>
    <row r="140">
      <c r="A140" s="3" t="inlineStr"/>
      <c r="B140" s="3" t="inlineStr">
        <is>
          <t>OPEN</t>
        </is>
      </c>
      <c r="C140" s="3" t="inlineStr">
        <is>
          <t>Taulia</t>
        </is>
      </c>
      <c r="D140" s="3" t="inlineStr">
        <is>
          <t>Mario Cortés</t>
        </is>
      </c>
      <c r="E140" s="3" t="inlineStr"/>
      <c r="F140" s="15" t="n">
        <v>46251.60581018519</v>
      </c>
      <c r="G140" s="16" t="n"/>
      <c r="H140" s="8" t="n"/>
      <c r="I140" s="8" t="n"/>
      <c r="J140" s="16" t="inlineStr">
        <is>
          <t>2026-08</t>
        </is>
      </c>
      <c r="K140" s="7" t="n">
        <v>44</v>
      </c>
    </row>
    <row r="141">
      <c r="A141" s="3" t="inlineStr"/>
      <c r="B141" s="3" t="inlineStr">
        <is>
          <t>RESOLVED</t>
        </is>
      </c>
      <c r="C141" s="3" t="inlineStr">
        <is>
          <t>Taulia</t>
        </is>
      </c>
      <c r="D141" s="3" t="inlineStr">
        <is>
          <t>Andres Prieto</t>
        </is>
      </c>
      <c r="E141" s="3" t="inlineStr">
        <is>
          <t>@dreimers</t>
        </is>
      </c>
      <c r="F141" s="15" t="n">
        <v>46251.65428240741</v>
      </c>
      <c r="G141" s="15" t="n">
        <v>46252.31541666666</v>
      </c>
      <c r="H141" s="8" t="n">
        <v>15.9</v>
      </c>
      <c r="I141" s="8" t="n">
        <v>0.7</v>
      </c>
      <c r="J141" s="16" t="inlineStr">
        <is>
          <t>2026-08</t>
        </is>
      </c>
      <c r="K141" s="16" t="n"/>
    </row>
    <row r="142">
      <c r="A142" s="3" t="inlineStr">
        <is>
          <t>INV00025761</t>
        </is>
      </c>
      <c r="B142" s="3" t="inlineStr">
        <is>
          <t>RESOLVED</t>
        </is>
      </c>
      <c r="C142" s="3" t="inlineStr">
        <is>
          <t>Coupa</t>
        </is>
      </c>
      <c r="D142" s="3" t="inlineStr">
        <is>
          <t>Andrea Juarez</t>
        </is>
      </c>
      <c r="E142" s="3" t="inlineStr">
        <is>
          <t>@dreimers</t>
        </is>
      </c>
      <c r="F142" s="15" t="n">
        <v>46251.78457175926</v>
      </c>
      <c r="G142" s="15" t="n">
        <v>46252.38494212963</v>
      </c>
      <c r="H142" s="8" t="n">
        <v>14.4</v>
      </c>
      <c r="I142" s="8" t="n">
        <v>0.6</v>
      </c>
      <c r="J142" s="16" t="inlineStr">
        <is>
          <t>2026-08</t>
        </is>
      </c>
      <c r="K142" s="16" t="n"/>
    </row>
    <row r="143">
      <c r="A143" s="3" t="inlineStr">
        <is>
          <t>INV00025652</t>
        </is>
      </c>
      <c r="B143" s="3" t="inlineStr">
        <is>
          <t>RESOLVED</t>
        </is>
      </c>
      <c r="C143" s="3" t="inlineStr">
        <is>
          <t>Coupa</t>
        </is>
      </c>
      <c r="D143" s="3" t="inlineStr">
        <is>
          <t>George Kahy</t>
        </is>
      </c>
      <c r="E143" s="3" t="inlineStr">
        <is>
          <t>@aprilj</t>
        </is>
      </c>
      <c r="F143" s="15" t="n">
        <v>46251.89958333333</v>
      </c>
      <c r="G143" s="15" t="n">
        <v>46252.29947916666</v>
      </c>
      <c r="H143" s="8" t="n">
        <v>9.6</v>
      </c>
      <c r="I143" s="8" t="n">
        <v>0.4</v>
      </c>
      <c r="J143" s="16" t="inlineStr">
        <is>
          <t>2026-08</t>
        </is>
      </c>
      <c r="K143" s="16" t="n"/>
    </row>
    <row r="144">
      <c r="A144" s="3" t="inlineStr">
        <is>
          <t>INV00023883</t>
        </is>
      </c>
      <c r="B144" s="3" t="inlineStr">
        <is>
          <t>RESOLVED</t>
        </is>
      </c>
      <c r="C144" s="3" t="inlineStr">
        <is>
          <t>Ariba</t>
        </is>
      </c>
      <c r="D144" s="3" t="inlineStr">
        <is>
          <t>George Kahy</t>
        </is>
      </c>
      <c r="E144" s="3" t="inlineStr">
        <is>
          <t>@aprilj</t>
        </is>
      </c>
      <c r="F144" s="15" t="n">
        <v>46252.10716435185</v>
      </c>
      <c r="G144" s="15" t="n">
        <v>46252.30134259259</v>
      </c>
      <c r="H144" s="8" t="n">
        <v>4.7</v>
      </c>
      <c r="I144" s="8" t="n">
        <v>0.2</v>
      </c>
      <c r="J144" s="16" t="inlineStr">
        <is>
          <t>2026-08</t>
        </is>
      </c>
      <c r="K144" s="16" t="n"/>
    </row>
    <row r="145">
      <c r="A145" s="3" t="inlineStr">
        <is>
          <t>INV00025761</t>
        </is>
      </c>
      <c r="B145" s="3" t="inlineStr">
        <is>
          <t>RESOLVED</t>
        </is>
      </c>
      <c r="C145" s="3" t="inlineStr">
        <is>
          <t>Coupa</t>
        </is>
      </c>
      <c r="D145" s="3" t="inlineStr">
        <is>
          <t>Alejandro Salazar Copado</t>
        </is>
      </c>
      <c r="E145" s="3" t="inlineStr">
        <is>
          <t>@dreimers</t>
        </is>
      </c>
      <c r="F145" s="15" t="n">
        <v>46252.48598379629</v>
      </c>
      <c r="G145" s="15" t="n">
        <v>46252.48894675926</v>
      </c>
      <c r="H145" s="8" t="n">
        <v>0.1</v>
      </c>
      <c r="I145" s="8" t="n">
        <v>0</v>
      </c>
      <c r="J145" s="16" t="inlineStr">
        <is>
          <t>2026-08</t>
        </is>
      </c>
      <c r="K145" s="16" t="n"/>
    </row>
    <row r="146">
      <c r="A146" s="3" t="inlineStr">
        <is>
          <t>INV00026379</t>
        </is>
      </c>
      <c r="B146" s="3" t="inlineStr">
        <is>
          <t>RESOLVED</t>
        </is>
      </c>
      <c r="C146" s="3" t="inlineStr">
        <is>
          <t>Coupa</t>
        </is>
      </c>
      <c r="D146" s="3" t="inlineStr">
        <is>
          <t>Diego Cué Vázquez</t>
        </is>
      </c>
      <c r="E146" s="3" t="inlineStr">
        <is>
          <t>@dreimers</t>
        </is>
      </c>
      <c r="F146" s="15" t="n">
        <v>46252.5265625</v>
      </c>
      <c r="G146" s="15" t="n">
        <v>46252.578125</v>
      </c>
      <c r="H146" s="8" t="n">
        <v>1.2</v>
      </c>
      <c r="I146" s="8" t="n">
        <v>0.1</v>
      </c>
      <c r="J146" s="16" t="inlineStr">
        <is>
          <t>2026-08</t>
        </is>
      </c>
      <c r="K146" s="16" t="n"/>
    </row>
    <row r="147">
      <c r="A147" s="3" t="inlineStr">
        <is>
          <t>INV00026390</t>
        </is>
      </c>
      <c r="B147" s="3" t="inlineStr">
        <is>
          <t>RESOLVED</t>
        </is>
      </c>
      <c r="C147" s="3" t="inlineStr">
        <is>
          <t>Tradeinterop</t>
        </is>
      </c>
      <c r="D147" s="3" t="inlineStr">
        <is>
          <t>Yulian Trishch</t>
        </is>
      </c>
      <c r="E147" s="3" t="inlineStr">
        <is>
          <t>@dreimers</t>
        </is>
      </c>
      <c r="F147" s="15" t="n">
        <v>46253.14837962963</v>
      </c>
      <c r="G147" s="15" t="n">
        <v>46253.49686342593</v>
      </c>
      <c r="H147" s="8" t="n">
        <v>8.4</v>
      </c>
      <c r="I147" s="8" t="n">
        <v>0.3</v>
      </c>
      <c r="J147" s="16" t="inlineStr">
        <is>
          <t>2026-08</t>
        </is>
      </c>
      <c r="K147" s="16" t="n"/>
    </row>
    <row r="148">
      <c r="A148" s="3" t="inlineStr">
        <is>
          <t>467656</t>
        </is>
      </c>
      <c r="B148" s="3" t="inlineStr">
        <is>
          <t>RESOLVED</t>
        </is>
      </c>
      <c r="C148" s="3" t="inlineStr">
        <is>
          <t>Oracle</t>
        </is>
      </c>
      <c r="D148" s="3" t="inlineStr">
        <is>
          <t>Viki Kovaliv</t>
        </is>
      </c>
      <c r="E148" s="3" t="inlineStr">
        <is>
          <t>@dreimers</t>
        </is>
      </c>
      <c r="F148" s="15" t="n">
        <v>46253.22612268518</v>
      </c>
      <c r="G148" s="15" t="n">
        <v>46254.62723379629</v>
      </c>
      <c r="H148" s="8" t="n">
        <v>33.6</v>
      </c>
      <c r="I148" s="8" t="n">
        <v>1.4</v>
      </c>
      <c r="J148" s="16" t="inlineStr">
        <is>
          <t>2026-08</t>
        </is>
      </c>
      <c r="K148" s="16" t="n"/>
    </row>
    <row r="149">
      <c r="A149" s="3" t="inlineStr">
        <is>
          <t>INV00025781</t>
        </is>
      </c>
      <c r="B149" s="3" t="inlineStr">
        <is>
          <t>RESOLVED</t>
        </is>
      </c>
      <c r="C149" s="3" t="inlineStr">
        <is>
          <t>Ariba</t>
        </is>
      </c>
      <c r="D149" s="3" t="inlineStr">
        <is>
          <t>Sebastian Novelo</t>
        </is>
      </c>
      <c r="E149" s="3" t="inlineStr">
        <is>
          <t>@dreimers</t>
        </is>
      </c>
      <c r="F149" s="15" t="n">
        <v>46254.65672453704</v>
      </c>
      <c r="G149" s="15" t="n">
        <v>46254.67521990741</v>
      </c>
      <c r="H149" s="8" t="n">
        <v>0.4</v>
      </c>
      <c r="I149" s="8" t="n">
        <v>0</v>
      </c>
      <c r="J149" s="16" t="inlineStr">
        <is>
          <t>2026-08</t>
        </is>
      </c>
      <c r="K149" s="16" t="n"/>
    </row>
    <row r="150">
      <c r="A150" s="3" t="inlineStr">
        <is>
          <t>471857</t>
        </is>
      </c>
      <c r="B150" s="3" t="inlineStr">
        <is>
          <t>OPEN</t>
        </is>
      </c>
      <c r="C150" s="3" t="inlineStr">
        <is>
          <t>Peppol</t>
        </is>
      </c>
      <c r="D150" s="3" t="inlineStr">
        <is>
          <t>Jose Novelo</t>
        </is>
      </c>
      <c r="E150" s="3" t="inlineStr">
        <is>
          <t>@dreimers</t>
        </is>
      </c>
      <c r="F150" s="15" t="n">
        <v>46255.44009259259</v>
      </c>
      <c r="G150" s="16" t="n"/>
      <c r="H150" s="8" t="n"/>
      <c r="I150" s="8" t="n"/>
      <c r="J150" s="16" t="inlineStr">
        <is>
          <t>2026-08</t>
        </is>
      </c>
      <c r="K150" s="7" t="n">
        <v>40</v>
      </c>
    </row>
    <row r="151">
      <c r="A151" s="3" t="inlineStr">
        <is>
          <t>INV00023536</t>
        </is>
      </c>
      <c r="B151" s="3" t="inlineStr">
        <is>
          <t>RESOLVED</t>
        </is>
      </c>
      <c r="C151" s="3" t="inlineStr">
        <is>
          <t>Coupa</t>
        </is>
      </c>
      <c r="D151" s="3" t="inlineStr">
        <is>
          <t>Yulian Trishch</t>
        </is>
      </c>
      <c r="E151" s="3" t="inlineStr">
        <is>
          <t>@dreimers</t>
        </is>
      </c>
      <c r="F151" s="15" t="n">
        <v>46258.33956018519</v>
      </c>
      <c r="G151" s="15" t="n">
        <v>46258.6808912037</v>
      </c>
      <c r="H151" s="8" t="n">
        <v>8.199999999999999</v>
      </c>
      <c r="I151" s="8" t="n">
        <v>0.3</v>
      </c>
      <c r="J151" s="16" t="inlineStr">
        <is>
          <t>2026-08</t>
        </is>
      </c>
      <c r="K151" s="16" t="n"/>
    </row>
    <row r="152">
      <c r="A152" s="3" t="inlineStr">
        <is>
          <t>INV00026412</t>
        </is>
      </c>
      <c r="B152" s="3" t="inlineStr">
        <is>
          <t>RESOLVED</t>
        </is>
      </c>
      <c r="C152" s="3" t="inlineStr">
        <is>
          <t>Coupa</t>
        </is>
      </c>
      <c r="D152" s="3" t="inlineStr">
        <is>
          <t>Alejandro Salazar Copado</t>
        </is>
      </c>
      <c r="E152" s="3" t="inlineStr">
        <is>
          <t>@dreimers</t>
        </is>
      </c>
      <c r="F152" s="15" t="n">
        <v>46258.52960648148</v>
      </c>
      <c r="G152" s="15" t="n">
        <v>46258.69270833334</v>
      </c>
      <c r="H152" s="8" t="n">
        <v>3.9</v>
      </c>
      <c r="I152" s="8" t="n">
        <v>0.2</v>
      </c>
      <c r="J152" s="16" t="inlineStr">
        <is>
          <t>2026-08</t>
        </is>
      </c>
      <c r="K152" s="16" t="n"/>
    </row>
    <row r="153">
      <c r="A153" s="3" t="inlineStr">
        <is>
          <t>460092</t>
        </is>
      </c>
      <c r="B153" s="3" t="inlineStr">
        <is>
          <t>RESOLVED</t>
        </is>
      </c>
      <c r="C153" s="3" t="inlineStr">
        <is>
          <t>Coupa</t>
        </is>
      </c>
      <c r="D153" s="3" t="inlineStr">
        <is>
          <t>Braulio Sánchez Chávez</t>
        </is>
      </c>
      <c r="E153" s="3" t="inlineStr">
        <is>
          <t>@dreimers</t>
        </is>
      </c>
      <c r="F153" s="15" t="n">
        <v>46259.45118055555</v>
      </c>
      <c r="G153" s="15" t="n">
        <v>46259.69587962963</v>
      </c>
      <c r="H153" s="8" t="n">
        <v>5.9</v>
      </c>
      <c r="I153" s="8" t="n">
        <v>0.2</v>
      </c>
      <c r="J153" s="16" t="inlineStr">
        <is>
          <t>2026-08</t>
        </is>
      </c>
      <c r="K153" s="16" t="n"/>
    </row>
    <row r="154">
      <c r="A154" s="3" t="inlineStr">
        <is>
          <t>456316</t>
        </is>
      </c>
      <c r="B154" s="3" t="inlineStr">
        <is>
          <t>RESOLVED</t>
        </is>
      </c>
      <c r="C154" s="3" t="inlineStr">
        <is>
          <t>Coupa</t>
        </is>
      </c>
      <c r="D154" s="3" t="inlineStr">
        <is>
          <t>Luisa Mancilla</t>
        </is>
      </c>
      <c r="E154" s="3" t="inlineStr">
        <is>
          <t>@aprilj</t>
        </is>
      </c>
      <c r="F154" s="15" t="n">
        <v>46259.45444444445</v>
      </c>
      <c r="G154" s="15" t="n">
        <v>46276.32092592592</v>
      </c>
      <c r="H154" s="8" t="n">
        <v>404.8</v>
      </c>
      <c r="I154" s="8" t="n">
        <v>16.9</v>
      </c>
      <c r="J154" s="16" t="inlineStr">
        <is>
          <t>2026-08</t>
        </is>
      </c>
      <c r="K154" s="16" t="n"/>
    </row>
    <row r="155">
      <c r="A155" s="3" t="inlineStr">
        <is>
          <t>456957</t>
        </is>
      </c>
      <c r="B155" s="3" t="inlineStr">
        <is>
          <t>RESOLVED</t>
        </is>
      </c>
      <c r="C155" s="3" t="inlineStr">
        <is>
          <t>Coupa</t>
        </is>
      </c>
      <c r="D155" s="3" t="inlineStr">
        <is>
          <t>Braulio Sánchez Chávez</t>
        </is>
      </c>
      <c r="E155" s="3" t="inlineStr">
        <is>
          <t>@dreimers</t>
        </is>
      </c>
      <c r="F155" s="15" t="n">
        <v>46259.45601851852</v>
      </c>
      <c r="G155" s="15" t="n">
        <v>46259.69956018519</v>
      </c>
      <c r="H155" s="8" t="n">
        <v>5.8</v>
      </c>
      <c r="I155" s="8" t="n">
        <v>0.2</v>
      </c>
      <c r="J155" s="16" t="inlineStr">
        <is>
          <t>2026-08</t>
        </is>
      </c>
      <c r="K155" s="16" t="n"/>
    </row>
    <row r="156">
      <c r="A156" s="3" t="inlineStr">
        <is>
          <t>INV00025064</t>
        </is>
      </c>
      <c r="B156" s="3" t="inlineStr">
        <is>
          <t>RESOLVED</t>
        </is>
      </c>
      <c r="C156" s="3" t="inlineStr">
        <is>
          <t>Coupa</t>
        </is>
      </c>
      <c r="D156" s="3" t="inlineStr">
        <is>
          <t>Braulio Sánchez Chávez</t>
        </is>
      </c>
      <c r="E156" s="3" t="inlineStr">
        <is>
          <t>@dreimers</t>
        </is>
      </c>
      <c r="F156" s="15" t="n">
        <v>46259.4687037037</v>
      </c>
      <c r="G156" s="15" t="n">
        <v>46259.70200231481</v>
      </c>
      <c r="H156" s="8" t="n">
        <v>5.6</v>
      </c>
      <c r="I156" s="8" t="n">
        <v>0.2</v>
      </c>
      <c r="J156" s="16" t="inlineStr">
        <is>
          <t>2026-08</t>
        </is>
      </c>
      <c r="K156" s="16" t="n"/>
    </row>
    <row r="157">
      <c r="A157" s="3" t="inlineStr">
        <is>
          <t>INV00023970</t>
        </is>
      </c>
      <c r="B157" s="3" t="inlineStr">
        <is>
          <t>RESOLVED</t>
        </is>
      </c>
      <c r="C157" s="3" t="inlineStr">
        <is>
          <t>Coupa</t>
        </is>
      </c>
      <c r="D157" s="3" t="inlineStr">
        <is>
          <t>Braulio Sánchez Chávez</t>
        </is>
      </c>
      <c r="E157" s="3" t="inlineStr">
        <is>
          <t>@dreimers</t>
        </is>
      </c>
      <c r="F157" s="15" t="n">
        <v>46259.48753472222</v>
      </c>
      <c r="G157" s="15" t="n">
        <v>46259.70475694445</v>
      </c>
      <c r="H157" s="8" t="n">
        <v>5.2</v>
      </c>
      <c r="I157" s="8" t="n">
        <v>0.2</v>
      </c>
      <c r="J157" s="16" t="inlineStr">
        <is>
          <t>2026-08</t>
        </is>
      </c>
      <c r="K157" s="16" t="n"/>
    </row>
    <row r="158">
      <c r="A158" s="3" t="inlineStr">
        <is>
          <t>471943</t>
        </is>
      </c>
      <c r="B158" s="3" t="inlineStr">
        <is>
          <t>OPEN</t>
        </is>
      </c>
      <c r="C158" s="3" t="inlineStr">
        <is>
          <t>Tungsten</t>
        </is>
      </c>
      <c r="D158" s="3" t="inlineStr">
        <is>
          <t>Fabrizio Rico del Mazo</t>
        </is>
      </c>
      <c r="E158" s="3" t="inlineStr">
        <is>
          <t>@dreimers</t>
        </is>
      </c>
      <c r="F158" s="15" t="n">
        <v>46259.6369675926</v>
      </c>
      <c r="G158" s="16" t="n"/>
      <c r="H158" s="8" t="n"/>
      <c r="I158" s="8" t="n"/>
      <c r="J158" s="16" t="inlineStr">
        <is>
          <t>2026-08</t>
        </is>
      </c>
      <c r="K158" s="7" t="n">
        <v>36</v>
      </c>
    </row>
    <row r="159">
      <c r="A159" s="3" t="inlineStr">
        <is>
          <t>INV00022213</t>
        </is>
      </c>
      <c r="B159" s="3" t="inlineStr">
        <is>
          <t>RESOLVED</t>
        </is>
      </c>
      <c r="C159" s="3" t="inlineStr">
        <is>
          <t>Taulia</t>
        </is>
      </c>
      <c r="D159" s="3" t="inlineStr">
        <is>
          <t>Andrea Toscano Rosales</t>
        </is>
      </c>
      <c r="E159" s="3" t="inlineStr"/>
      <c r="F159" s="15" t="n">
        <v>46260.45311342592</v>
      </c>
      <c r="G159" s="15" t="n">
        <v>46260.74804398148</v>
      </c>
      <c r="H159" s="8" t="n">
        <v>7.1</v>
      </c>
      <c r="I159" s="8" t="n">
        <v>0.3</v>
      </c>
      <c r="J159" s="16" t="inlineStr">
        <is>
          <t>2026-08</t>
        </is>
      </c>
      <c r="K159" s="16" t="n"/>
    </row>
    <row r="160">
      <c r="A160" s="3" t="inlineStr">
        <is>
          <t>INV00023050</t>
        </is>
      </c>
      <c r="B160" s="3" t="inlineStr">
        <is>
          <t>RESOLVED</t>
        </is>
      </c>
      <c r="C160" s="3" t="inlineStr">
        <is>
          <t>Taulia</t>
        </is>
      </c>
      <c r="D160" s="3" t="inlineStr">
        <is>
          <t>Andrea Toscano Rosales</t>
        </is>
      </c>
      <c r="E160" s="3" t="inlineStr"/>
      <c r="F160" s="15" t="n">
        <v>46260.48914351852</v>
      </c>
      <c r="G160" s="15" t="n">
        <v>46260.74846064814</v>
      </c>
      <c r="H160" s="8" t="n">
        <v>6.2</v>
      </c>
      <c r="I160" s="8" t="n">
        <v>0.3</v>
      </c>
      <c r="J160" s="16" t="inlineStr">
        <is>
          <t>2026-08</t>
        </is>
      </c>
      <c r="K160" s="16" t="n"/>
    </row>
    <row r="161">
      <c r="A161" s="3" t="inlineStr"/>
      <c r="B161" s="3" t="inlineStr">
        <is>
          <t>RESOLVED</t>
        </is>
      </c>
      <c r="C161" s="3" t="inlineStr">
        <is>
          <t>Coupa</t>
        </is>
      </c>
      <c r="D161" s="3" t="inlineStr">
        <is>
          <t>Mario Cortés</t>
        </is>
      </c>
      <c r="E161" s="3" t="inlineStr"/>
      <c r="F161" s="15" t="n">
        <v>46260.5043287037</v>
      </c>
      <c r="G161" s="15" t="n">
        <v>46260.74892361111</v>
      </c>
      <c r="H161" s="8" t="n">
        <v>5.9</v>
      </c>
      <c r="I161" s="8" t="n">
        <v>0.2</v>
      </c>
      <c r="J161" s="16" t="inlineStr">
        <is>
          <t>2026-08</t>
        </is>
      </c>
      <c r="K161" s="16" t="n"/>
    </row>
    <row r="162">
      <c r="A162" s="3" t="inlineStr">
        <is>
          <t>INV00025515</t>
        </is>
      </c>
      <c r="B162" s="3" t="inlineStr">
        <is>
          <t>RESOLVED</t>
        </is>
      </c>
      <c r="C162" s="3" t="inlineStr">
        <is>
          <t>Coupa</t>
        </is>
      </c>
      <c r="D162" s="3" t="inlineStr">
        <is>
          <t>Andrea Toscano Rosales</t>
        </is>
      </c>
      <c r="E162" s="3" t="inlineStr">
        <is>
          <t>@dreimers</t>
        </is>
      </c>
      <c r="F162" s="15" t="n">
        <v>46260.6129050926</v>
      </c>
      <c r="G162" s="15" t="n">
        <v>46260.7539699074</v>
      </c>
      <c r="H162" s="8" t="n">
        <v>3.4</v>
      </c>
      <c r="I162" s="8" t="n">
        <v>0.1</v>
      </c>
      <c r="J162" s="16" t="inlineStr">
        <is>
          <t>2026-08</t>
        </is>
      </c>
      <c r="K162" s="16" t="n"/>
    </row>
    <row r="163">
      <c r="A163" s="3" t="inlineStr">
        <is>
          <t>TEST</t>
        </is>
      </c>
      <c r="B163" s="3" t="inlineStr">
        <is>
          <t>RESOLVED</t>
        </is>
      </c>
      <c r="C163" s="3" t="inlineStr">
        <is>
          <t>Other</t>
        </is>
      </c>
      <c r="D163" s="3" t="inlineStr">
        <is>
          <t>Alejandra Mendoza</t>
        </is>
      </c>
      <c r="E163" s="3" t="inlineStr">
        <is>
          <t>@dreimers</t>
        </is>
      </c>
      <c r="F163" s="15" t="n">
        <v>46260.66341435185</v>
      </c>
      <c r="G163" s="15" t="n">
        <v>46260.66575231482</v>
      </c>
      <c r="H163" s="8" t="n">
        <v>0.1</v>
      </c>
      <c r="I163" s="8" t="n">
        <v>0</v>
      </c>
      <c r="J163" s="16" t="inlineStr">
        <is>
          <t>2026-08</t>
        </is>
      </c>
      <c r="K163" s="16" t="n"/>
    </row>
    <row r="164">
      <c r="A164" s="3" t="inlineStr">
        <is>
          <t>INV00026750</t>
        </is>
      </c>
      <c r="B164" s="3" t="inlineStr">
        <is>
          <t>RESOLVED</t>
        </is>
      </c>
      <c r="C164" s="3" t="inlineStr">
        <is>
          <t>Ariba</t>
        </is>
      </c>
      <c r="D164" s="3" t="inlineStr">
        <is>
          <t>Regina Peña</t>
        </is>
      </c>
      <c r="E164" s="3" t="inlineStr">
        <is>
          <t>@dreimers</t>
        </is>
      </c>
      <c r="F164" s="15" t="n">
        <v>46262.42390046296</v>
      </c>
      <c r="G164" s="15" t="n">
        <v>46262.75164351852</v>
      </c>
      <c r="H164" s="8" t="n">
        <v>7.9</v>
      </c>
      <c r="I164" s="8" t="n">
        <v>0.3</v>
      </c>
      <c r="J164" s="16" t="inlineStr">
        <is>
          <t>2026-08</t>
        </is>
      </c>
      <c r="K164" s="16" t="n"/>
    </row>
    <row r="165">
      <c r="A165" s="3" t="inlineStr">
        <is>
          <t>INV00020977</t>
        </is>
      </c>
      <c r="B165" s="3" t="inlineStr">
        <is>
          <t>RESOLVED</t>
        </is>
      </c>
      <c r="C165" s="3" t="inlineStr">
        <is>
          <t>Oracle</t>
        </is>
      </c>
      <c r="D165" s="3" t="inlineStr">
        <is>
          <t>Mario Cortés</t>
        </is>
      </c>
      <c r="E165" s="3" t="inlineStr">
        <is>
          <t>@dreimers</t>
        </is>
      </c>
      <c r="F165" s="15" t="n">
        <v>46262.46074074074</v>
      </c>
      <c r="G165" s="15" t="n">
        <v>46262.75387731481</v>
      </c>
      <c r="H165" s="8" t="n">
        <v>7</v>
      </c>
      <c r="I165" s="8" t="n">
        <v>0.3</v>
      </c>
      <c r="J165" s="16" t="inlineStr">
        <is>
          <t>2026-08</t>
        </is>
      </c>
      <c r="K165" s="16" t="n"/>
    </row>
    <row r="166">
      <c r="A166" s="3" t="inlineStr"/>
      <c r="B166" s="3" t="inlineStr">
        <is>
          <t>RESOLVED</t>
        </is>
      </c>
      <c r="C166" s="3" t="inlineStr">
        <is>
          <t>Coupa</t>
        </is>
      </c>
      <c r="D166" s="3" t="inlineStr">
        <is>
          <t>Mario Cortés</t>
        </is>
      </c>
      <c r="E166" s="3" t="inlineStr">
        <is>
          <t>@dreimers</t>
        </is>
      </c>
      <c r="F166" s="15" t="n">
        <v>46262.56922453704</v>
      </c>
      <c r="G166" s="15" t="n">
        <v>46262.7541550926</v>
      </c>
      <c r="H166" s="8" t="n">
        <v>4.4</v>
      </c>
      <c r="I166" s="8" t="n">
        <v>0.2</v>
      </c>
      <c r="J166" s="16" t="inlineStr">
        <is>
          <t>2026-08</t>
        </is>
      </c>
      <c r="K166" s="16" t="n"/>
    </row>
    <row r="167">
      <c r="A167" s="3" t="inlineStr">
        <is>
          <t>INV00022414</t>
        </is>
      </c>
      <c r="B167" s="3" t="inlineStr">
        <is>
          <t>RESOLVED</t>
        </is>
      </c>
      <c r="C167" s="3" t="inlineStr">
        <is>
          <t>Coupa</t>
        </is>
      </c>
      <c r="D167" s="3" t="inlineStr">
        <is>
          <t>Edgar Pérez</t>
        </is>
      </c>
      <c r="E167" s="3" t="inlineStr">
        <is>
          <t>@dreimers</t>
        </is>
      </c>
      <c r="F167" s="15" t="n">
        <v>46265.46298611111</v>
      </c>
      <c r="G167" s="15" t="n">
        <v>46265.7983912037</v>
      </c>
      <c r="H167" s="8" t="n">
        <v>8</v>
      </c>
      <c r="I167" s="8" t="n">
        <v>0.3</v>
      </c>
      <c r="J167" s="16" t="inlineStr">
        <is>
          <t>2026-08</t>
        </is>
      </c>
      <c r="K167" s="16" t="n"/>
    </row>
    <row r="168">
      <c r="A168" s="3" t="inlineStr">
        <is>
          <t>472012</t>
        </is>
      </c>
      <c r="B168" s="3" t="inlineStr">
        <is>
          <t>RESOLVED</t>
        </is>
      </c>
      <c r="C168" s="3" t="inlineStr">
        <is>
          <t>Ariba</t>
        </is>
      </c>
      <c r="D168" s="3" t="inlineStr">
        <is>
          <t>Daniela Gomez Viscaino</t>
        </is>
      </c>
      <c r="E168" s="3" t="inlineStr">
        <is>
          <t>@dreimers</t>
        </is>
      </c>
      <c r="F168" s="15" t="n">
        <v>46265.5284375</v>
      </c>
      <c r="G168" s="15" t="n">
        <v>46265.80060185185</v>
      </c>
      <c r="H168" s="8" t="n">
        <v>6.5</v>
      </c>
      <c r="I168" s="8" t="n">
        <v>0.3</v>
      </c>
      <c r="J168" s="16" t="inlineStr">
        <is>
          <t>2026-08</t>
        </is>
      </c>
      <c r="K168" s="16" t="n"/>
    </row>
    <row r="169">
      <c r="A169" s="3" t="inlineStr"/>
      <c r="B169" s="3" t="inlineStr">
        <is>
          <t>RESOLVED</t>
        </is>
      </c>
      <c r="C169" s="3" t="inlineStr">
        <is>
          <t>Coupa</t>
        </is>
      </c>
      <c r="D169" s="3" t="inlineStr">
        <is>
          <t>Mario Cortés</t>
        </is>
      </c>
      <c r="E169" s="3" t="inlineStr">
        <is>
          <t>@dreimers</t>
        </is>
      </c>
      <c r="F169" s="15" t="n">
        <v>46267.4621412037</v>
      </c>
      <c r="G169" s="15" t="n">
        <v>46267.74416666666</v>
      </c>
      <c r="H169" s="8" t="n">
        <v>6.8</v>
      </c>
      <c r="I169" s="8" t="n">
        <v>0.3</v>
      </c>
      <c r="J169" s="16" t="inlineStr">
        <is>
          <t>2026-09</t>
        </is>
      </c>
      <c r="K169" s="16" t="n"/>
    </row>
    <row r="170">
      <c r="A170" s="3" t="inlineStr">
        <is>
          <t>470826</t>
        </is>
      </c>
      <c r="B170" s="3" t="inlineStr">
        <is>
          <t>RESOLVED</t>
        </is>
      </c>
      <c r="C170" s="3" t="inlineStr">
        <is>
          <t>Chorus Pro</t>
        </is>
      </c>
      <c r="D170" s="3" t="inlineStr">
        <is>
          <t>Gabriela Kwaśniewska</t>
        </is>
      </c>
      <c r="E170" s="3" t="inlineStr">
        <is>
          <t>@dreimers</t>
        </is>
      </c>
      <c r="F170" s="15" t="n">
        <v>46268.34320601852</v>
      </c>
      <c r="G170" s="15" t="n">
        <v>46289.79761574074</v>
      </c>
      <c r="H170" s="8" t="n">
        <v>514.9</v>
      </c>
      <c r="I170" s="8" t="n">
        <v>21.5</v>
      </c>
      <c r="J170" s="16" t="inlineStr">
        <is>
          <t>2026-09</t>
        </is>
      </c>
      <c r="K170" s="16" t="n"/>
    </row>
    <row r="171">
      <c r="A171" s="3" t="inlineStr">
        <is>
          <t>467590</t>
        </is>
      </c>
      <c r="B171" s="3" t="inlineStr">
        <is>
          <t>RESOLVED</t>
        </is>
      </c>
      <c r="C171" s="3" t="inlineStr">
        <is>
          <t>Ariba</t>
        </is>
      </c>
      <c r="D171" s="3" t="inlineStr">
        <is>
          <t>Abril Marmolejo Portillo</t>
        </is>
      </c>
      <c r="E171" s="3" t="inlineStr">
        <is>
          <t>@dreimers</t>
        </is>
      </c>
      <c r="F171" s="15" t="n">
        <v>46268.46327546296</v>
      </c>
      <c r="G171" s="15" t="n">
        <v>46269.75719907408</v>
      </c>
      <c r="H171" s="8" t="n">
        <v>31.1</v>
      </c>
      <c r="I171" s="8" t="n">
        <v>1.3</v>
      </c>
      <c r="J171" s="16" t="inlineStr">
        <is>
          <t>2026-09</t>
        </is>
      </c>
      <c r="K171" s="16" t="n"/>
    </row>
    <row r="172">
      <c r="A172" s="3" t="inlineStr">
        <is>
          <t>INV00025292</t>
        </is>
      </c>
      <c r="B172" s="3" t="inlineStr">
        <is>
          <t>RESOLVED</t>
        </is>
      </c>
      <c r="C172" s="3" t="inlineStr">
        <is>
          <t>Coupa</t>
        </is>
      </c>
      <c r="D172" s="3" t="inlineStr">
        <is>
          <t>Braulio Sánchez Chávez</t>
        </is>
      </c>
      <c r="E172" s="3" t="inlineStr">
        <is>
          <t>@dreimers</t>
        </is>
      </c>
      <c r="F172" s="15" t="n">
        <v>46268.57877314815</v>
      </c>
      <c r="G172" s="15" t="n">
        <v>46268.74202546296</v>
      </c>
      <c r="H172" s="8" t="n">
        <v>3.9</v>
      </c>
      <c r="I172" s="8" t="n">
        <v>0.2</v>
      </c>
      <c r="J172" s="16" t="inlineStr">
        <is>
          <t>2026-09</t>
        </is>
      </c>
      <c r="K172" s="16" t="n"/>
    </row>
    <row r="173">
      <c r="A173" s="3" t="inlineStr">
        <is>
          <t>#472026</t>
        </is>
      </c>
      <c r="B173" s="3" t="inlineStr">
        <is>
          <t>RESOLVED</t>
        </is>
      </c>
      <c r="C173" s="3" t="inlineStr">
        <is>
          <t>Coupa</t>
        </is>
      </c>
      <c r="D173" s="3" t="inlineStr">
        <is>
          <t>Maria Granja</t>
        </is>
      </c>
      <c r="E173" s="3" t="inlineStr"/>
      <c r="F173" s="15" t="n">
        <v>46269.41390046296</v>
      </c>
      <c r="G173" s="15" t="n">
        <v>46269.74777777777</v>
      </c>
      <c r="H173" s="8" t="n">
        <v>8</v>
      </c>
      <c r="I173" s="8" t="n">
        <v>0.3</v>
      </c>
      <c r="J173" s="16" t="inlineStr">
        <is>
          <t>2026-09</t>
        </is>
      </c>
      <c r="K173" s="16" t="n"/>
    </row>
    <row r="174">
      <c r="A174" s="3" t="inlineStr">
        <is>
          <t>INV00027122</t>
        </is>
      </c>
      <c r="B174" s="3" t="inlineStr">
        <is>
          <t>RESOLVED</t>
        </is>
      </c>
      <c r="C174" s="3" t="inlineStr">
        <is>
          <t>Coupa</t>
        </is>
      </c>
      <c r="D174" s="3" t="inlineStr">
        <is>
          <t>Daniela Huerta Tayabas</t>
        </is>
      </c>
      <c r="E174" s="3" t="inlineStr">
        <is>
          <t>@dreimers</t>
        </is>
      </c>
      <c r="F174" s="15" t="n">
        <v>46269.56347222222</v>
      </c>
      <c r="G174" s="15" t="n">
        <v>46269.74950231481</v>
      </c>
      <c r="H174" s="8" t="n">
        <v>4.5</v>
      </c>
      <c r="I174" s="8" t="n">
        <v>0.2</v>
      </c>
      <c r="J174" s="16" t="inlineStr">
        <is>
          <t>2026-09</t>
        </is>
      </c>
      <c r="K174" s="16" t="n"/>
    </row>
    <row r="175">
      <c r="A175" s="3" t="inlineStr">
        <is>
          <t>472138</t>
        </is>
      </c>
      <c r="B175" s="3" t="inlineStr">
        <is>
          <t>OPEN</t>
        </is>
      </c>
      <c r="C175" s="3" t="inlineStr">
        <is>
          <t>Ariba</t>
        </is>
      </c>
      <c r="D175" s="3" t="inlineStr">
        <is>
          <t>Alejandro Salazar Copado</t>
        </is>
      </c>
      <c r="E175" s="3" t="inlineStr">
        <is>
          <t>@dreimers</t>
        </is>
      </c>
      <c r="F175" s="15" t="n">
        <v>46269.69914351852</v>
      </c>
      <c r="G175" s="16" t="n"/>
      <c r="H175" s="8" t="n"/>
      <c r="I175" s="8" t="n"/>
      <c r="J175" s="16" t="inlineStr">
        <is>
          <t>2026-09</t>
        </is>
      </c>
      <c r="K175" s="7" t="n">
        <v>26</v>
      </c>
    </row>
    <row r="176">
      <c r="A176" s="3" t="inlineStr">
        <is>
          <t>472139</t>
        </is>
      </c>
      <c r="B176" s="3" t="inlineStr">
        <is>
          <t>RESOLVED</t>
        </is>
      </c>
      <c r="C176" s="3" t="inlineStr">
        <is>
          <t>Ariba</t>
        </is>
      </c>
      <c r="D176" s="3" t="inlineStr">
        <is>
          <t>Jose Novelo</t>
        </is>
      </c>
      <c r="E176" s="3" t="inlineStr">
        <is>
          <t>@dreimers</t>
        </is>
      </c>
      <c r="F176" s="15" t="n">
        <v>46269.70040509259</v>
      </c>
      <c r="G176" s="15" t="n">
        <v>46269.75445601852</v>
      </c>
      <c r="H176" s="8" t="n">
        <v>1.3</v>
      </c>
      <c r="I176" s="8" t="n">
        <v>0.1</v>
      </c>
      <c r="J176" s="16" t="inlineStr">
        <is>
          <t>2026-09</t>
        </is>
      </c>
      <c r="K176" s="16" t="n"/>
    </row>
    <row r="177">
      <c r="A177" s="3" t="inlineStr">
        <is>
          <t>471619</t>
        </is>
      </c>
      <c r="B177" s="3" t="inlineStr">
        <is>
          <t>RESOLVED</t>
        </is>
      </c>
      <c r="C177" s="3" t="inlineStr">
        <is>
          <t>Chorus Pro</t>
        </is>
      </c>
      <c r="D177" s="3" t="inlineStr">
        <is>
          <t>Thomas Nunes</t>
        </is>
      </c>
      <c r="E177" s="3" t="inlineStr">
        <is>
          <t>@dreimers</t>
        </is>
      </c>
      <c r="F177" s="15" t="n">
        <v>46272.07915509259</v>
      </c>
      <c r="G177" s="15" t="n">
        <v>46273.67190972222</v>
      </c>
      <c r="H177" s="8" t="n">
        <v>38.2</v>
      </c>
      <c r="I177" s="8" t="n">
        <v>1.6</v>
      </c>
      <c r="J177" s="16" t="inlineStr">
        <is>
          <t>2026-09</t>
        </is>
      </c>
      <c r="K177" s="16" t="n"/>
    </row>
    <row r="178">
      <c r="A178" s="3" t="inlineStr">
        <is>
          <t>471590</t>
        </is>
      </c>
      <c r="B178" s="3" t="inlineStr">
        <is>
          <t>RESOLVED</t>
        </is>
      </c>
      <c r="C178" s="3" t="inlineStr">
        <is>
          <t>Oracle</t>
        </is>
      </c>
      <c r="D178" s="3" t="inlineStr">
        <is>
          <t>Viki Kovaliv</t>
        </is>
      </c>
      <c r="E178" s="3" t="inlineStr">
        <is>
          <t>@dreimers</t>
        </is>
      </c>
      <c r="F178" s="15" t="n">
        <v>46272.33386574074</v>
      </c>
      <c r="G178" s="15" t="n">
        <v>46272.86024305555</v>
      </c>
      <c r="H178" s="8" t="n">
        <v>12.6</v>
      </c>
      <c r="I178" s="8" t="n">
        <v>0.5</v>
      </c>
      <c r="J178" s="16" t="inlineStr">
        <is>
          <t>2026-09</t>
        </is>
      </c>
      <c r="K178" s="16" t="n"/>
    </row>
    <row r="179">
      <c r="A179" s="3" t="inlineStr">
        <is>
          <t>INV00027671</t>
        </is>
      </c>
      <c r="B179" s="3" t="inlineStr">
        <is>
          <t>RESOLVED</t>
        </is>
      </c>
      <c r="C179" s="3" t="inlineStr">
        <is>
          <t>Coupa</t>
        </is>
      </c>
      <c r="D179" s="3" t="inlineStr">
        <is>
          <t>Daniela Gomez Viscaino</t>
        </is>
      </c>
      <c r="E179" s="3" t="inlineStr">
        <is>
          <t>@dreimers</t>
        </is>
      </c>
      <c r="F179" s="15" t="n">
        <v>46272.58190972222</v>
      </c>
      <c r="G179" s="15" t="n">
        <v>46272.8178125</v>
      </c>
      <c r="H179" s="8" t="n">
        <v>5.7</v>
      </c>
      <c r="I179" s="8" t="n">
        <v>0.2</v>
      </c>
      <c r="J179" s="16" t="inlineStr">
        <is>
          <t>2026-09</t>
        </is>
      </c>
      <c r="K179" s="16" t="n"/>
    </row>
    <row r="180">
      <c r="A180" s="3" t="inlineStr">
        <is>
          <t>INV00027260</t>
        </is>
      </c>
      <c r="B180" s="3" t="inlineStr">
        <is>
          <t>RESOLVED</t>
        </is>
      </c>
      <c r="C180" s="3" t="inlineStr">
        <is>
          <t>Ariba</t>
        </is>
      </c>
      <c r="D180" s="3" t="inlineStr">
        <is>
          <t>Daniela Gomez Viscaino</t>
        </is>
      </c>
      <c r="E180" s="3" t="inlineStr">
        <is>
          <t>@dreimers</t>
        </is>
      </c>
      <c r="F180" s="15" t="n">
        <v>46272.58299768518</v>
      </c>
      <c r="G180" s="15" t="n">
        <v>46272.81731481481</v>
      </c>
      <c r="H180" s="8" t="n">
        <v>5.6</v>
      </c>
      <c r="I180" s="8" t="n">
        <v>0.2</v>
      </c>
      <c r="J180" s="16" t="inlineStr">
        <is>
          <t>2026-09</t>
        </is>
      </c>
      <c r="K180" s="16" t="n"/>
    </row>
    <row r="181">
      <c r="A181" s="3" t="inlineStr">
        <is>
          <t>INV00026252</t>
        </is>
      </c>
      <c r="B181" s="3" t="inlineStr">
        <is>
          <t>RESOLVED</t>
        </is>
      </c>
      <c r="C181" s="3" t="inlineStr">
        <is>
          <t>Ariba</t>
        </is>
      </c>
      <c r="D181" s="3" t="inlineStr">
        <is>
          <t>Daniela Gomez Viscaino</t>
        </is>
      </c>
      <c r="E181" s="3" t="inlineStr">
        <is>
          <t>@dreimers</t>
        </is>
      </c>
      <c r="F181" s="15" t="n">
        <v>46272.58405092593</v>
      </c>
      <c r="G181" s="15" t="n">
        <v>46272.81680555556</v>
      </c>
      <c r="H181" s="8" t="n">
        <v>5.6</v>
      </c>
      <c r="I181" s="8" t="n">
        <v>0.2</v>
      </c>
      <c r="J181" s="16" t="inlineStr">
        <is>
          <t>2026-09</t>
        </is>
      </c>
      <c r="K181" s="16" t="n"/>
    </row>
    <row r="182">
      <c r="A182" s="3" t="inlineStr">
        <is>
          <t>INV00026663</t>
        </is>
      </c>
      <c r="B182" s="3" t="inlineStr">
        <is>
          <t>RESOLVED</t>
        </is>
      </c>
      <c r="C182" s="3" t="inlineStr">
        <is>
          <t>Ariba</t>
        </is>
      </c>
      <c r="D182" s="3" t="inlineStr">
        <is>
          <t>Daniela Gomez Viscaino</t>
        </is>
      </c>
      <c r="E182" s="3" t="inlineStr">
        <is>
          <t>@dreimers</t>
        </is>
      </c>
      <c r="F182" s="15" t="n">
        <v>46272.58578703704</v>
      </c>
      <c r="G182" s="15" t="n">
        <v>46272.8156712963</v>
      </c>
      <c r="H182" s="8" t="n">
        <v>5.5</v>
      </c>
      <c r="I182" s="8" t="n">
        <v>0.2</v>
      </c>
      <c r="J182" s="16" t="inlineStr">
        <is>
          <t>2026-09</t>
        </is>
      </c>
      <c r="K182" s="16" t="n"/>
    </row>
    <row r="183">
      <c r="A183" s="3" t="inlineStr">
        <is>
          <t>471600</t>
        </is>
      </c>
      <c r="B183" s="3" t="inlineStr">
        <is>
          <t>RESOLVED</t>
        </is>
      </c>
      <c r="C183" s="3" t="inlineStr">
        <is>
          <t>Oracle</t>
        </is>
      </c>
      <c r="D183" s="3" t="inlineStr">
        <is>
          <t>Viki Kovaliv</t>
        </is>
      </c>
      <c r="E183" s="3" t="inlineStr">
        <is>
          <t>@dreimers</t>
        </is>
      </c>
      <c r="F183" s="15" t="n">
        <v>46273.18445601852</v>
      </c>
      <c r="G183" s="15" t="n">
        <v>46273.80862268519</v>
      </c>
      <c r="H183" s="8" t="n">
        <v>15</v>
      </c>
      <c r="I183" s="8" t="n">
        <v>0.6</v>
      </c>
      <c r="J183" s="16" t="inlineStr">
        <is>
          <t>2026-09</t>
        </is>
      </c>
      <c r="K183" s="16" t="n"/>
    </row>
    <row r="184">
      <c r="A184" s="3" t="inlineStr">
        <is>
          <t>471619</t>
        </is>
      </c>
      <c r="B184" s="3" t="inlineStr">
        <is>
          <t>RESOLVED</t>
        </is>
      </c>
      <c r="C184" s="3" t="inlineStr">
        <is>
          <t>Chorus Pro</t>
        </is>
      </c>
      <c r="D184" s="3" t="inlineStr">
        <is>
          <t>Yulian Trishch</t>
        </is>
      </c>
      <c r="E184" s="3" t="inlineStr">
        <is>
          <t>@dreimers</t>
        </is>
      </c>
      <c r="F184" s="15" t="n">
        <v>46273.34128472222</v>
      </c>
      <c r="G184" s="15" t="n">
        <v>46275.03223379629</v>
      </c>
      <c r="H184" s="8" t="n">
        <v>40.6</v>
      </c>
      <c r="I184" s="8" t="n">
        <v>1.7</v>
      </c>
      <c r="J184" s="16" t="inlineStr">
        <is>
          <t>2026-09</t>
        </is>
      </c>
      <c r="K184" s="16" t="n"/>
    </row>
    <row r="185">
      <c r="A185" s="3" t="inlineStr">
        <is>
          <t>INV00027000</t>
        </is>
      </c>
      <c r="B185" s="3" t="inlineStr">
        <is>
          <t>OPEN</t>
        </is>
      </c>
      <c r="C185" s="3" t="inlineStr">
        <is>
          <t>URL</t>
        </is>
      </c>
      <c r="D185" s="3" t="inlineStr">
        <is>
          <t>Viki Kovaliv</t>
        </is>
      </c>
      <c r="E185" s="3" t="inlineStr">
        <is>
          <t>@dreimers</t>
        </is>
      </c>
      <c r="F185" s="15" t="n">
        <v>46273.38089120371</v>
      </c>
      <c r="G185" s="16" t="n"/>
      <c r="H185" s="8" t="n"/>
      <c r="I185" s="8" t="n"/>
      <c r="J185" s="16" t="inlineStr">
        <is>
          <t>2026-09</t>
        </is>
      </c>
      <c r="K185" s="7" t="n">
        <v>22</v>
      </c>
    </row>
    <row r="186">
      <c r="A186" s="3" t="inlineStr">
        <is>
          <t>INV00027198</t>
        </is>
      </c>
      <c r="B186" s="3" t="inlineStr">
        <is>
          <t>RESOLVED</t>
        </is>
      </c>
      <c r="C186" s="3" t="inlineStr">
        <is>
          <t>Coupa</t>
        </is>
      </c>
      <c r="D186" s="3" t="inlineStr">
        <is>
          <t>Mario Cortés</t>
        </is>
      </c>
      <c r="E186" s="3" t="inlineStr">
        <is>
          <t>@dreimers</t>
        </is>
      </c>
      <c r="F186" s="15" t="n">
        <v>46273.38494212963</v>
      </c>
      <c r="G186" s="15" t="n">
        <v>46273.74833333334</v>
      </c>
      <c r="H186" s="8" t="n">
        <v>8.699999999999999</v>
      </c>
      <c r="I186" s="8" t="n">
        <v>0.4</v>
      </c>
      <c r="J186" s="16" t="inlineStr">
        <is>
          <t>2026-09</t>
        </is>
      </c>
      <c r="K186" s="16" t="n"/>
    </row>
    <row r="187">
      <c r="A187" s="3" t="inlineStr">
        <is>
          <t>INV00026862</t>
        </is>
      </c>
      <c r="B187" s="3" t="inlineStr">
        <is>
          <t>RESOLVED</t>
        </is>
      </c>
      <c r="C187" s="3" t="inlineStr">
        <is>
          <t>Ariba</t>
        </is>
      </c>
      <c r="D187" s="3" t="inlineStr">
        <is>
          <t>Daniela Gomez Viscaino</t>
        </is>
      </c>
      <c r="E187" s="3" t="inlineStr">
        <is>
          <t>@dreimers</t>
        </is>
      </c>
      <c r="F187" s="15" t="n">
        <v>46273.47493055555</v>
      </c>
      <c r="G187" s="15" t="n">
        <v>46273.75203703704</v>
      </c>
      <c r="H187" s="8" t="n">
        <v>6.7</v>
      </c>
      <c r="I187" s="8" t="n">
        <v>0.3</v>
      </c>
      <c r="J187" s="16" t="inlineStr">
        <is>
          <t>2026-09</t>
        </is>
      </c>
      <c r="K187" s="16" t="n"/>
    </row>
    <row r="188">
      <c r="A188" s="3" t="inlineStr">
        <is>
          <t>INV00025628</t>
        </is>
      </c>
      <c r="B188" s="3" t="inlineStr">
        <is>
          <t>RESOLVED</t>
        </is>
      </c>
      <c r="C188" s="3" t="inlineStr">
        <is>
          <t>Transcepta</t>
        </is>
      </c>
      <c r="D188" s="3" t="inlineStr">
        <is>
          <t>Fernanda Estrada</t>
        </is>
      </c>
      <c r="E188" s="3" t="inlineStr">
        <is>
          <t>@dreimers</t>
        </is>
      </c>
      <c r="F188" s="15" t="n">
        <v>46273.49547453703</v>
      </c>
      <c r="G188" s="15" t="n">
        <v>46273.81053240741</v>
      </c>
      <c r="H188" s="8" t="n">
        <v>7.6</v>
      </c>
      <c r="I188" s="8" t="n">
        <v>0.3</v>
      </c>
      <c r="J188" s="16" t="inlineStr">
        <is>
          <t>2026-09</t>
        </is>
      </c>
      <c r="K188" s="16" t="n"/>
    </row>
    <row r="189">
      <c r="A189" s="3" t="inlineStr">
        <is>
          <t>470261</t>
        </is>
      </c>
      <c r="B189" s="3" t="inlineStr">
        <is>
          <t>RESOLVED</t>
        </is>
      </c>
      <c r="C189" s="3" t="inlineStr">
        <is>
          <t>Ariba</t>
        </is>
      </c>
      <c r="D189" s="3" t="inlineStr">
        <is>
          <t>Mario Cortés</t>
        </is>
      </c>
      <c r="E189" s="3" t="inlineStr">
        <is>
          <t>@dreimers</t>
        </is>
      </c>
      <c r="F189" s="15" t="n">
        <v>46273.64802083333</v>
      </c>
      <c r="G189" s="15" t="n">
        <v>46273.78578703704</v>
      </c>
      <c r="H189" s="8" t="n">
        <v>3.3</v>
      </c>
      <c r="I189" s="8" t="n">
        <v>0.1</v>
      </c>
      <c r="J189" s="16" t="inlineStr">
        <is>
          <t>2026-09</t>
        </is>
      </c>
      <c r="K189" s="16" t="n"/>
    </row>
    <row r="190">
      <c r="A190" s="3" t="inlineStr"/>
      <c r="B190" s="3" t="inlineStr">
        <is>
          <t>RESOLVED</t>
        </is>
      </c>
      <c r="C190" s="3" t="inlineStr">
        <is>
          <t>Coupa</t>
        </is>
      </c>
      <c r="D190" s="3" t="inlineStr">
        <is>
          <t>Fabio Reboreda</t>
        </is>
      </c>
      <c r="E190" s="3" t="inlineStr">
        <is>
          <t>@dreimers</t>
        </is>
      </c>
      <c r="F190" s="15" t="n">
        <v>46273.74711805556</v>
      </c>
      <c r="G190" s="15" t="n">
        <v>46273.78797453704</v>
      </c>
      <c r="H190" s="8" t="n">
        <v>1</v>
      </c>
      <c r="I190" s="8" t="n">
        <v>0</v>
      </c>
      <c r="J190" s="16" t="inlineStr">
        <is>
          <t>2026-09</t>
        </is>
      </c>
      <c r="K190" s="16" t="n"/>
    </row>
    <row r="191">
      <c r="A191" s="3" t="inlineStr">
        <is>
          <t>INV00026378</t>
        </is>
      </c>
      <c r="B191" s="3" t="inlineStr">
        <is>
          <t>RESOLVED</t>
        </is>
      </c>
      <c r="C191" s="3" t="inlineStr">
        <is>
          <t>Ariba</t>
        </is>
      </c>
      <c r="D191" s="3" t="inlineStr">
        <is>
          <t>George Kahy</t>
        </is>
      </c>
      <c r="E191" s="3" t="inlineStr">
        <is>
          <t>@dreimers</t>
        </is>
      </c>
      <c r="F191" s="15" t="n">
        <v>46273.95369212963</v>
      </c>
      <c r="G191" s="15" t="n">
        <v>46274.70277777778</v>
      </c>
      <c r="H191" s="8" t="n">
        <v>18</v>
      </c>
      <c r="I191" s="8" t="n">
        <v>0.7</v>
      </c>
      <c r="J191" s="16" t="inlineStr">
        <is>
          <t>2026-09</t>
        </is>
      </c>
      <c r="K191" s="16" t="n"/>
    </row>
    <row r="192">
      <c r="A192" s="3" t="inlineStr">
        <is>
          <t>INV00026558</t>
        </is>
      </c>
      <c r="B192" s="3" t="inlineStr">
        <is>
          <t>RESOLVED</t>
        </is>
      </c>
      <c r="C192" s="3" t="inlineStr">
        <is>
          <t>Delta Invoice Wo</t>
        </is>
      </c>
      <c r="D192" s="3" t="inlineStr">
        <is>
          <t>Alejandro González</t>
        </is>
      </c>
      <c r="E192" s="3" t="inlineStr">
        <is>
          <t>@dreimers</t>
        </is>
      </c>
      <c r="F192" s="15" t="n">
        <v>46274.81570601852</v>
      </c>
      <c r="G192" s="15" t="n">
        <v>46274.87145833333</v>
      </c>
      <c r="H192" s="8" t="n">
        <v>1.3</v>
      </c>
      <c r="I192" s="8" t="n">
        <v>0.1</v>
      </c>
      <c r="J192" s="16" t="inlineStr">
        <is>
          <t>2026-09</t>
        </is>
      </c>
      <c r="K192" s="16" t="n"/>
    </row>
    <row r="193">
      <c r="A193" s="3" t="inlineStr">
        <is>
          <t>INV00026770</t>
        </is>
      </c>
      <c r="B193" s="3" t="inlineStr">
        <is>
          <t>RESOLVED</t>
        </is>
      </c>
      <c r="C193" s="3" t="inlineStr">
        <is>
          <t>Ivalua</t>
        </is>
      </c>
      <c r="D193" s="3" t="inlineStr">
        <is>
          <t>Hinata Igawa</t>
        </is>
      </c>
      <c r="E193" s="3" t="inlineStr">
        <is>
          <t>@dreimers</t>
        </is>
      </c>
      <c r="F193" s="15" t="n">
        <v>46274.93984953704</v>
      </c>
      <c r="G193" s="15" t="n">
        <v>46275.74511574074</v>
      </c>
      <c r="H193" s="8" t="n">
        <v>19.3</v>
      </c>
      <c r="I193" s="8" t="n">
        <v>0.8</v>
      </c>
      <c r="J193" s="16" t="inlineStr">
        <is>
          <t>2026-09</t>
        </is>
      </c>
      <c r="K193" s="16" t="n"/>
    </row>
    <row r="194">
      <c r="A194" s="3" t="inlineStr">
        <is>
          <t>466580</t>
        </is>
      </c>
      <c r="B194" s="3" t="inlineStr">
        <is>
          <t>RESOLVED</t>
        </is>
      </c>
      <c r="C194" s="3" t="inlineStr">
        <is>
          <t>Vendors@Gov</t>
        </is>
      </c>
      <c r="D194" s="3" t="inlineStr">
        <is>
          <t>George Kahy</t>
        </is>
      </c>
      <c r="E194" s="3" t="inlineStr">
        <is>
          <t>@dreimers</t>
        </is>
      </c>
      <c r="F194" s="15" t="n">
        <v>46275.11490740741</v>
      </c>
      <c r="G194" s="15" t="n">
        <v>46275.73774305556</v>
      </c>
      <c r="H194" s="8" t="n">
        <v>14.9</v>
      </c>
      <c r="I194" s="8" t="n">
        <v>0.6</v>
      </c>
      <c r="J194" s="16" t="inlineStr">
        <is>
          <t>2026-09</t>
        </is>
      </c>
      <c r="K194" s="16" t="n"/>
    </row>
    <row r="195">
      <c r="A195" s="3" t="inlineStr"/>
      <c r="B195" s="3" t="inlineStr">
        <is>
          <t>RESOLVED</t>
        </is>
      </c>
      <c r="C195" s="3" t="inlineStr">
        <is>
          <t>Ariba</t>
        </is>
      </c>
      <c r="D195" s="3" t="inlineStr">
        <is>
          <t>Mario Cortés</t>
        </is>
      </c>
      <c r="E195" s="3" t="inlineStr">
        <is>
          <t>@dreimers</t>
        </is>
      </c>
      <c r="F195" s="15" t="n">
        <v>46275.43525462963</v>
      </c>
      <c r="G195" s="15" t="n">
        <v>46275.70545138889</v>
      </c>
      <c r="H195" s="8" t="n">
        <v>6.5</v>
      </c>
      <c r="I195" s="8" t="n">
        <v>0.3</v>
      </c>
      <c r="J195" s="16" t="inlineStr">
        <is>
          <t>2026-09</t>
        </is>
      </c>
      <c r="K195" s="16" t="n"/>
    </row>
    <row r="196">
      <c r="A196" s="3" t="inlineStr">
        <is>
          <t>INV00026424</t>
        </is>
      </c>
      <c r="B196" s="3" t="inlineStr">
        <is>
          <t>RESOLVED</t>
        </is>
      </c>
      <c r="C196" s="3" t="inlineStr">
        <is>
          <t>URL</t>
        </is>
      </c>
      <c r="D196" s="3" t="inlineStr">
        <is>
          <t>Andres Prieto</t>
        </is>
      </c>
      <c r="E196" s="3" t="inlineStr">
        <is>
          <t>@dreimers</t>
        </is>
      </c>
      <c r="F196" s="15" t="n">
        <v>46275.59155092593</v>
      </c>
      <c r="G196" s="15" t="n">
        <v>46275.75160879629</v>
      </c>
      <c r="H196" s="8" t="n">
        <v>3.8</v>
      </c>
      <c r="I196" s="8" t="n">
        <v>0.2</v>
      </c>
      <c r="J196" s="16" t="inlineStr">
        <is>
          <t>2026-09</t>
        </is>
      </c>
      <c r="K196" s="16" t="n"/>
    </row>
    <row r="197">
      <c r="A197" s="3" t="inlineStr">
        <is>
          <t>INV00027789</t>
        </is>
      </c>
      <c r="B197" s="3" t="inlineStr">
        <is>
          <t>OPEN</t>
        </is>
      </c>
      <c r="C197" s="3" t="inlineStr">
        <is>
          <t>Ariba</t>
        </is>
      </c>
      <c r="D197" s="3" t="inlineStr">
        <is>
          <t>Hinata Igawa</t>
        </is>
      </c>
      <c r="E197" s="3" t="inlineStr"/>
      <c r="F197" s="15" t="n">
        <v>46276.00186342592</v>
      </c>
      <c r="G197" s="16" t="n"/>
      <c r="H197" s="8" t="n"/>
      <c r="I197" s="8" t="n"/>
      <c r="J197" s="16" t="inlineStr">
        <is>
          <t>2026-09</t>
        </is>
      </c>
      <c r="K197" s="7" t="n">
        <v>19</v>
      </c>
    </row>
    <row r="198">
      <c r="A198" s="3" t="inlineStr">
        <is>
          <t>INV00027927</t>
        </is>
      </c>
      <c r="B198" s="3" t="inlineStr">
        <is>
          <t>OPEN</t>
        </is>
      </c>
      <c r="C198" s="3" t="inlineStr">
        <is>
          <t>Ariba</t>
        </is>
      </c>
      <c r="D198" s="3" t="inlineStr">
        <is>
          <t>Hinata Igawa</t>
        </is>
      </c>
      <c r="E198" s="3" t="inlineStr"/>
      <c r="F198" s="15" t="n">
        <v>46276.02268518518</v>
      </c>
      <c r="G198" s="16" t="n"/>
      <c r="H198" s="8" t="n"/>
      <c r="I198" s="8" t="n"/>
      <c r="J198" s="16" t="inlineStr">
        <is>
          <t>2026-09</t>
        </is>
      </c>
      <c r="K198" s="7" t="n">
        <v>19</v>
      </c>
    </row>
    <row r="199">
      <c r="A199" s="3" t="inlineStr">
        <is>
          <t>TESTING</t>
        </is>
      </c>
      <c r="B199" s="3" t="inlineStr">
        <is>
          <t>RESOLVED</t>
        </is>
      </c>
      <c r="C199" s="3" t="inlineStr">
        <is>
          <t>Other</t>
        </is>
      </c>
      <c r="D199" s="3" t="inlineStr">
        <is>
          <t>Alejandra Mendoza</t>
        </is>
      </c>
      <c r="E199" s="3" t="inlineStr">
        <is>
          <t>@alejandram</t>
        </is>
      </c>
      <c r="F199" s="15" t="n">
        <v>46276.32140046296</v>
      </c>
      <c r="G199" s="15" t="n">
        <v>46276.32194444445</v>
      </c>
      <c r="H199" s="8" t="n">
        <v>0</v>
      </c>
      <c r="I199" s="8" t="n">
        <v>0</v>
      </c>
      <c r="J199" s="16" t="inlineStr">
        <is>
          <t>2026-09</t>
        </is>
      </c>
      <c r="K199" s="16" t="n"/>
    </row>
    <row r="200">
      <c r="A200" s="3" t="inlineStr">
        <is>
          <t>INV00028223</t>
        </is>
      </c>
      <c r="B200" s="3" t="inlineStr">
        <is>
          <t>OPEN</t>
        </is>
      </c>
      <c r="C200" s="3" t="inlineStr">
        <is>
          <t>Peppol</t>
        </is>
      </c>
      <c r="D200" s="3" t="inlineStr">
        <is>
          <t>Rosario Flores</t>
        </is>
      </c>
      <c r="E200" s="3" t="inlineStr">
        <is>
          <t>@dreimers</t>
        </is>
      </c>
      <c r="F200" s="15" t="n">
        <v>46276.64129629629</v>
      </c>
      <c r="G200" s="16" t="n"/>
      <c r="H200" s="8" t="n"/>
      <c r="I200" s="8" t="n"/>
      <c r="J200" s="16" t="inlineStr">
        <is>
          <t>2026-09</t>
        </is>
      </c>
      <c r="K200" s="7" t="n">
        <v>19</v>
      </c>
    </row>
    <row r="201">
      <c r="A201" s="3" t="inlineStr"/>
      <c r="B201" s="3" t="inlineStr">
        <is>
          <t>RESOLVED</t>
        </is>
      </c>
      <c r="C201" s="3" t="inlineStr">
        <is>
          <t>Taulia</t>
        </is>
      </c>
      <c r="D201" s="3" t="inlineStr">
        <is>
          <t>Valeria Astorga Méndez</t>
        </is>
      </c>
      <c r="E201" s="3" t="inlineStr">
        <is>
          <t>@dreimers</t>
        </is>
      </c>
      <c r="F201" s="15" t="n">
        <v>46276.71234953704</v>
      </c>
      <c r="G201" s="15" t="n">
        <v>46276.74949074074</v>
      </c>
      <c r="H201" s="8" t="n">
        <v>0.9</v>
      </c>
      <c r="I201" s="8" t="n">
        <v>0</v>
      </c>
      <c r="J201" s="16" t="inlineStr">
        <is>
          <t>2026-09</t>
        </is>
      </c>
      <c r="K201" s="16" t="n"/>
    </row>
    <row r="202">
      <c r="A202" s="3" t="inlineStr">
        <is>
          <t>INV00027221</t>
        </is>
      </c>
      <c r="B202" s="3" t="inlineStr">
        <is>
          <t>RESOLVED</t>
        </is>
      </c>
      <c r="C202" s="3" t="inlineStr">
        <is>
          <t>Other</t>
        </is>
      </c>
      <c r="D202" s="3" t="inlineStr">
        <is>
          <t>Aga Chrzanowska</t>
        </is>
      </c>
      <c r="E202" s="3" t="inlineStr">
        <is>
          <t>@dreimers</t>
        </is>
      </c>
      <c r="F202" s="15" t="n">
        <v>46279.27420138889</v>
      </c>
      <c r="G202" s="15" t="n">
        <v>46279.69190972222</v>
      </c>
      <c r="H202" s="8" t="n">
        <v>10</v>
      </c>
      <c r="I202" s="8" t="n">
        <v>0.4</v>
      </c>
      <c r="J202" s="16" t="inlineStr">
        <is>
          <t>2026-09</t>
        </is>
      </c>
      <c r="K202" s="16" t="n"/>
    </row>
    <row r="203">
      <c r="A203" s="3" t="inlineStr">
        <is>
          <t>INV00027991</t>
        </is>
      </c>
      <c r="B203" s="3" t="inlineStr">
        <is>
          <t>RESOLVED</t>
        </is>
      </c>
      <c r="C203" s="3" t="inlineStr">
        <is>
          <t>Chorus Pro</t>
        </is>
      </c>
      <c r="D203" s="3" t="inlineStr">
        <is>
          <t>Viki Kovaliv</t>
        </is>
      </c>
      <c r="E203" s="3" t="inlineStr">
        <is>
          <t>@dreimers</t>
        </is>
      </c>
      <c r="F203" s="15" t="n">
        <v>46279.37494212963</v>
      </c>
      <c r="G203" s="15" t="n">
        <v>46279.7009837963</v>
      </c>
      <c r="H203" s="8" t="n">
        <v>7.8</v>
      </c>
      <c r="I203" s="8" t="n">
        <v>0.3</v>
      </c>
      <c r="J203" s="16" t="inlineStr">
        <is>
          <t>2026-09</t>
        </is>
      </c>
      <c r="K203" s="16" t="n"/>
    </row>
    <row r="204">
      <c r="A204" s="3" t="inlineStr"/>
      <c r="B204" s="3" t="inlineStr">
        <is>
          <t>RESOLVED</t>
        </is>
      </c>
      <c r="C204" s="3" t="inlineStr">
        <is>
          <t>Taulia</t>
        </is>
      </c>
      <c r="D204" s="3" t="inlineStr">
        <is>
          <t>Mario Cortés</t>
        </is>
      </c>
      <c r="E204" s="3" t="inlineStr">
        <is>
          <t>@dreimers</t>
        </is>
      </c>
      <c r="F204" s="15" t="n">
        <v>46279.48206018518</v>
      </c>
      <c r="G204" s="15" t="n">
        <v>46279.70635416666</v>
      </c>
      <c r="H204" s="8" t="n">
        <v>5.4</v>
      </c>
      <c r="I204" s="8" t="n">
        <v>0.2</v>
      </c>
      <c r="J204" s="16" t="inlineStr">
        <is>
          <t>2026-09</t>
        </is>
      </c>
      <c r="K204" s="16" t="n"/>
    </row>
    <row r="205">
      <c r="A205" s="3" t="inlineStr"/>
      <c r="B205" s="3" t="inlineStr">
        <is>
          <t>RESOLVED</t>
        </is>
      </c>
      <c r="C205" s="3" t="inlineStr">
        <is>
          <t>Coupa</t>
        </is>
      </c>
      <c r="D205" s="3" t="inlineStr">
        <is>
          <t>Mario Cortés</t>
        </is>
      </c>
      <c r="E205" s="3" t="inlineStr">
        <is>
          <t>@dreimers</t>
        </is>
      </c>
      <c r="F205" s="15" t="n">
        <v>46279.49877314815</v>
      </c>
      <c r="G205" s="15" t="n">
        <v>46279.7071412037</v>
      </c>
      <c r="H205" s="8" t="n">
        <v>5</v>
      </c>
      <c r="I205" s="8" t="n">
        <v>0.2</v>
      </c>
      <c r="J205" s="16" t="inlineStr">
        <is>
          <t>2026-09</t>
        </is>
      </c>
      <c r="K205" s="16" t="n"/>
    </row>
    <row r="206">
      <c r="A206" s="3" t="inlineStr"/>
      <c r="B206" s="3" t="inlineStr">
        <is>
          <t>RESOLVED</t>
        </is>
      </c>
      <c r="C206" s="3" t="inlineStr">
        <is>
          <t>Taulia</t>
        </is>
      </c>
      <c r="D206" s="3" t="inlineStr">
        <is>
          <t>Mario Cortés</t>
        </is>
      </c>
      <c r="E206" s="3" t="inlineStr">
        <is>
          <t>@dreimers</t>
        </is>
      </c>
      <c r="F206" s="15" t="n">
        <v>46279.63611111111</v>
      </c>
      <c r="G206" s="15" t="n">
        <v>46279.71039351852</v>
      </c>
      <c r="H206" s="8" t="n">
        <v>1.8</v>
      </c>
      <c r="I206" s="8" t="n">
        <v>0.1</v>
      </c>
      <c r="J206" s="16" t="inlineStr">
        <is>
          <t>2026-09</t>
        </is>
      </c>
      <c r="K206" s="16" t="n"/>
    </row>
    <row r="207">
      <c r="A207" s="3" t="inlineStr"/>
      <c r="B207" s="3" t="inlineStr">
        <is>
          <t>RESOLVED</t>
        </is>
      </c>
      <c r="C207" s="3" t="inlineStr">
        <is>
          <t>Taulia</t>
        </is>
      </c>
      <c r="D207" s="3" t="inlineStr">
        <is>
          <t>Mario Cortés</t>
        </is>
      </c>
      <c r="E207" s="3" t="inlineStr">
        <is>
          <t>@dreimers</t>
        </is>
      </c>
      <c r="F207" s="15" t="n">
        <v>46279.63826388889</v>
      </c>
      <c r="G207" s="15" t="n">
        <v>46279.71068287037</v>
      </c>
      <c r="H207" s="8" t="n">
        <v>1.7</v>
      </c>
      <c r="I207" s="8" t="n">
        <v>0.1</v>
      </c>
      <c r="J207" s="16" t="inlineStr">
        <is>
          <t>2026-09</t>
        </is>
      </c>
      <c r="K207" s="16" t="n"/>
    </row>
    <row r="208">
      <c r="A208" s="3" t="inlineStr">
        <is>
          <t>na</t>
        </is>
      </c>
      <c r="B208" s="3" t="inlineStr">
        <is>
          <t>RESOLVED</t>
        </is>
      </c>
      <c r="C208" s="3" t="inlineStr">
        <is>
          <t>Taulia</t>
        </is>
      </c>
      <c r="D208" s="3" t="inlineStr">
        <is>
          <t>Fabio Reboreda</t>
        </is>
      </c>
      <c r="E208" s="3" t="inlineStr">
        <is>
          <t>@dreimers</t>
        </is>
      </c>
      <c r="F208" s="15" t="n">
        <v>46279.75101851852</v>
      </c>
      <c r="G208" s="15" t="n">
        <v>46280.83005787037</v>
      </c>
      <c r="H208" s="8" t="n">
        <v>25.9</v>
      </c>
      <c r="I208" s="8" t="n">
        <v>1.1</v>
      </c>
      <c r="J208" s="16" t="inlineStr">
        <is>
          <t>2026-09</t>
        </is>
      </c>
      <c r="K208" s="16" t="n"/>
    </row>
    <row r="209">
      <c r="A209" s="3" t="inlineStr">
        <is>
          <t>na</t>
        </is>
      </c>
      <c r="B209" s="3" t="inlineStr">
        <is>
          <t>RESOLVED</t>
        </is>
      </c>
      <c r="C209" s="3" t="inlineStr">
        <is>
          <t>Taulia</t>
        </is>
      </c>
      <c r="D209" s="3" t="inlineStr">
        <is>
          <t>Fabio Reboreda</t>
        </is>
      </c>
      <c r="E209" s="3" t="inlineStr">
        <is>
          <t>@dreimers</t>
        </is>
      </c>
      <c r="F209" s="15" t="n">
        <v>46279.75172453704</v>
      </c>
      <c r="G209" s="15" t="n">
        <v>46280.83034722223</v>
      </c>
      <c r="H209" s="8" t="n">
        <v>25.9</v>
      </c>
      <c r="I209" s="8" t="n">
        <v>1.1</v>
      </c>
      <c r="J209" s="16" t="inlineStr">
        <is>
          <t>2026-09</t>
        </is>
      </c>
      <c r="K209" s="16" t="n"/>
    </row>
    <row r="210">
      <c r="A210" s="3" t="inlineStr">
        <is>
          <t>INV00027357</t>
        </is>
      </c>
      <c r="B210" s="3" t="inlineStr">
        <is>
          <t>RESOLVED</t>
        </is>
      </c>
      <c r="C210" s="3" t="inlineStr">
        <is>
          <t>Ariba</t>
        </is>
      </c>
      <c r="D210" s="3" t="inlineStr">
        <is>
          <t>George Kahy</t>
        </is>
      </c>
      <c r="E210" s="3" t="inlineStr">
        <is>
          <t>@dreimers</t>
        </is>
      </c>
      <c r="F210" s="15" t="n">
        <v>46282.03335648148</v>
      </c>
      <c r="G210" s="15" t="n">
        <v>46282.75394675926</v>
      </c>
      <c r="H210" s="8" t="n">
        <v>17.3</v>
      </c>
      <c r="I210" s="8" t="n">
        <v>0.7</v>
      </c>
      <c r="J210" s="16" t="inlineStr">
        <is>
          <t>2026-09</t>
        </is>
      </c>
      <c r="K210" s="16" t="n"/>
    </row>
    <row r="211">
      <c r="A211" s="3" t="inlineStr">
        <is>
          <t>INV00025537</t>
        </is>
      </c>
      <c r="B211" s="3" t="inlineStr">
        <is>
          <t>RESOLVED</t>
        </is>
      </c>
      <c r="C211" s="3" t="inlineStr">
        <is>
          <t>Sap System ( Att</t>
        </is>
      </c>
      <c r="D211" s="3" t="inlineStr">
        <is>
          <t>Yulian Trishch</t>
        </is>
      </c>
      <c r="E211" s="3" t="inlineStr">
        <is>
          <t>@dreimers</t>
        </is>
      </c>
      <c r="F211" s="15" t="n">
        <v>46282.35394675926</v>
      </c>
      <c r="G211" s="15" t="n">
        <v>46282.75534722222</v>
      </c>
      <c r="H211" s="8" t="n">
        <v>9.6</v>
      </c>
      <c r="I211" s="8" t="n">
        <v>0.4</v>
      </c>
      <c r="J211" s="16" t="inlineStr">
        <is>
          <t>2026-09</t>
        </is>
      </c>
      <c r="K211" s="16" t="n"/>
    </row>
    <row r="212">
      <c r="A212" s="3" t="inlineStr"/>
      <c r="B212" s="3" t="inlineStr">
        <is>
          <t>RESOLVED</t>
        </is>
      </c>
      <c r="C212" s="3" t="inlineStr">
        <is>
          <t>Coupa</t>
        </is>
      </c>
      <c r="D212" s="3" t="inlineStr">
        <is>
          <t>Mario Cortés</t>
        </is>
      </c>
      <c r="E212" s="3" t="inlineStr">
        <is>
          <t>@dreimers</t>
        </is>
      </c>
      <c r="F212" s="15" t="n">
        <v>46282.48214120371</v>
      </c>
      <c r="G212" s="15" t="n">
        <v>46282.75592592593</v>
      </c>
      <c r="H212" s="8" t="n">
        <v>6.6</v>
      </c>
      <c r="I212" s="8" t="n">
        <v>0.3</v>
      </c>
      <c r="J212" s="16" t="inlineStr">
        <is>
          <t>2026-09</t>
        </is>
      </c>
      <c r="K212" s="16" t="n"/>
    </row>
    <row r="213">
      <c r="A213" s="3" t="inlineStr">
        <is>
          <t>INV00028268</t>
        </is>
      </c>
      <c r="B213" s="3" t="inlineStr">
        <is>
          <t>RESOLVED</t>
        </is>
      </c>
      <c r="C213" s="3" t="inlineStr">
        <is>
          <t>Coupa</t>
        </is>
      </c>
      <c r="D213" s="3" t="inlineStr">
        <is>
          <t>Andrea Juarez</t>
        </is>
      </c>
      <c r="E213" s="3" t="inlineStr">
        <is>
          <t>@dreimers</t>
        </is>
      </c>
      <c r="F213" s="15" t="n">
        <v>46282.66640046296</v>
      </c>
      <c r="G213" s="15" t="n">
        <v>46282.75686342592</v>
      </c>
      <c r="H213" s="8" t="n">
        <v>2.2</v>
      </c>
      <c r="I213" s="8" t="n">
        <v>0.1</v>
      </c>
      <c r="J213" s="16" t="inlineStr">
        <is>
          <t>2026-09</t>
        </is>
      </c>
      <c r="K213" s="16" t="n"/>
    </row>
    <row r="214">
      <c r="A214" s="3" t="inlineStr">
        <is>
          <t>466580</t>
        </is>
      </c>
      <c r="B214" s="3" t="inlineStr">
        <is>
          <t>OPEN</t>
        </is>
      </c>
      <c r="C214" s="3" t="inlineStr">
        <is>
          <t>Vendors@Gov</t>
        </is>
      </c>
      <c r="D214" s="3" t="inlineStr">
        <is>
          <t>George Kahy</t>
        </is>
      </c>
      <c r="E214" s="3" t="inlineStr">
        <is>
          <t>@dreimers</t>
        </is>
      </c>
      <c r="F214" s="15" t="n">
        <v>46282.87568287037</v>
      </c>
      <c r="G214" s="16" t="n"/>
      <c r="H214" s="8" t="n"/>
      <c r="I214" s="8" t="n"/>
      <c r="J214" s="16" t="inlineStr">
        <is>
          <t>2026-09</t>
        </is>
      </c>
      <c r="K214" s="7" t="n">
        <v>13</v>
      </c>
    </row>
    <row r="215">
      <c r="A215" s="3" t="inlineStr">
        <is>
          <t>469462</t>
        </is>
      </c>
      <c r="B215" s="3" t="inlineStr">
        <is>
          <t>RESOLVED</t>
        </is>
      </c>
      <c r="C215" s="3" t="inlineStr">
        <is>
          <t>Ivalua</t>
        </is>
      </c>
      <c r="D215" s="3" t="inlineStr">
        <is>
          <t>Yulian Trishch</t>
        </is>
      </c>
      <c r="E215" s="3" t="inlineStr">
        <is>
          <t>@dreimers</t>
        </is>
      </c>
      <c r="F215" s="15" t="n">
        <v>46283.2722337963</v>
      </c>
      <c r="G215" s="15" t="n">
        <v>46283.73339120371</v>
      </c>
      <c r="H215" s="8" t="n">
        <v>11.1</v>
      </c>
      <c r="I215" s="8" t="n">
        <v>0.5</v>
      </c>
      <c r="J215" s="16" t="inlineStr">
        <is>
          <t>2026-09</t>
        </is>
      </c>
      <c r="K215" s="16" t="n"/>
    </row>
    <row r="216">
      <c r="A216" s="3" t="inlineStr"/>
      <c r="B216" s="3" t="inlineStr">
        <is>
          <t>RESOLVED</t>
        </is>
      </c>
      <c r="C216" s="3" t="inlineStr">
        <is>
          <t>Taulia</t>
        </is>
      </c>
      <c r="D216" s="3" t="inlineStr">
        <is>
          <t>Fabio Reboreda</t>
        </is>
      </c>
      <c r="E216" s="3" t="inlineStr">
        <is>
          <t>@dreimers</t>
        </is>
      </c>
      <c r="F216" s="15" t="n">
        <v>46283.66844907407</v>
      </c>
      <c r="G216" s="15" t="n">
        <v>46283.74189814815</v>
      </c>
      <c r="H216" s="8" t="n">
        <v>1.8</v>
      </c>
      <c r="I216" s="8" t="n">
        <v>0.1</v>
      </c>
      <c r="J216" s="16" t="inlineStr">
        <is>
          <t>2026-09</t>
        </is>
      </c>
      <c r="K216" s="16" t="n"/>
    </row>
    <row r="217">
      <c r="A217" s="3" t="inlineStr">
        <is>
          <t>INV00028433</t>
        </is>
      </c>
      <c r="B217" s="3" t="inlineStr">
        <is>
          <t>RESOLVED</t>
        </is>
      </c>
      <c r="C217" s="3" t="inlineStr">
        <is>
          <t>Coupa</t>
        </is>
      </c>
      <c r="D217" s="3" t="inlineStr">
        <is>
          <t>Cindy Espinola</t>
        </is>
      </c>
      <c r="E217" s="3" t="inlineStr">
        <is>
          <t>@dreimers</t>
        </is>
      </c>
      <c r="F217" s="15" t="n">
        <v>46283.70826388889</v>
      </c>
      <c r="G217" s="15" t="n">
        <v>46283.88784722222</v>
      </c>
      <c r="H217" s="8" t="n">
        <v>4.3</v>
      </c>
      <c r="I217" s="8" t="n">
        <v>0.2</v>
      </c>
      <c r="J217" s="16" t="inlineStr">
        <is>
          <t>2026-09</t>
        </is>
      </c>
      <c r="K217" s="16" t="n"/>
    </row>
    <row r="218">
      <c r="A218" s="3" t="inlineStr">
        <is>
          <t>INV00025496</t>
        </is>
      </c>
      <c r="B218" s="3" t="inlineStr">
        <is>
          <t>RESOLVED</t>
        </is>
      </c>
      <c r="C218" s="3" t="inlineStr">
        <is>
          <t>Ariba</t>
        </is>
      </c>
      <c r="D218" s="3" t="inlineStr">
        <is>
          <t>Aga Chrzanowska</t>
        </is>
      </c>
      <c r="E218" s="3" t="inlineStr">
        <is>
          <t>@dreimers</t>
        </is>
      </c>
      <c r="F218" s="15" t="n">
        <v>46286.20535879629</v>
      </c>
      <c r="G218" s="15" t="n">
        <v>46286.70011574074</v>
      </c>
      <c r="H218" s="8" t="n">
        <v>11.9</v>
      </c>
      <c r="I218" s="8" t="n">
        <v>0.5</v>
      </c>
      <c r="J218" s="16" t="inlineStr">
        <is>
          <t>2026-09</t>
        </is>
      </c>
      <c r="K218" s="16" t="n"/>
    </row>
    <row r="219">
      <c r="A219" s="3" t="inlineStr">
        <is>
          <t>n.a</t>
        </is>
      </c>
      <c r="B219" s="3" t="inlineStr">
        <is>
          <t>RESOLVED</t>
        </is>
      </c>
      <c r="C219" s="3" t="inlineStr">
        <is>
          <t>Taulia</t>
        </is>
      </c>
      <c r="D219" s="3" t="inlineStr">
        <is>
          <t>Yulian Trishch</t>
        </is>
      </c>
      <c r="E219" s="3" t="inlineStr">
        <is>
          <t>@dreimers</t>
        </is>
      </c>
      <c r="F219" s="15" t="n">
        <v>46286.30641203704</v>
      </c>
      <c r="G219" s="15" t="n">
        <v>46286.70070601852</v>
      </c>
      <c r="H219" s="8" t="n">
        <v>9.5</v>
      </c>
      <c r="I219" s="8" t="n">
        <v>0.4</v>
      </c>
      <c r="J219" s="16" t="inlineStr">
        <is>
          <t>2026-09</t>
        </is>
      </c>
      <c r="K219" s="16" t="n"/>
    </row>
    <row r="220">
      <c r="A220" s="3" t="inlineStr">
        <is>
          <t>INV00028076</t>
        </is>
      </c>
      <c r="B220" s="3" t="inlineStr">
        <is>
          <t>OPEN</t>
        </is>
      </c>
      <c r="C220" s="3" t="inlineStr">
        <is>
          <t>Coupa</t>
        </is>
      </c>
      <c r="D220" s="3" t="inlineStr">
        <is>
          <t>Viki Kovaliv</t>
        </is>
      </c>
      <c r="E220" s="3" t="inlineStr">
        <is>
          <t>@dreimers</t>
        </is>
      </c>
      <c r="F220" s="15" t="n">
        <v>46286.39118055555</v>
      </c>
      <c r="G220" s="16" t="n"/>
      <c r="H220" s="8" t="n"/>
      <c r="I220" s="8" t="n"/>
      <c r="J220" s="16" t="inlineStr">
        <is>
          <t>2026-09</t>
        </is>
      </c>
      <c r="K220" s="7" t="n">
        <v>9</v>
      </c>
    </row>
    <row r="221">
      <c r="A221" s="3" t="inlineStr">
        <is>
          <t>INV00024706</t>
        </is>
      </c>
      <c r="B221" s="3" t="inlineStr">
        <is>
          <t>RESOLVED</t>
        </is>
      </c>
      <c r="C221" s="3" t="inlineStr">
        <is>
          <t>Coupa</t>
        </is>
      </c>
      <c r="D221" s="3" t="inlineStr">
        <is>
          <t>Edgar Pérez</t>
        </is>
      </c>
      <c r="E221" s="3" t="inlineStr">
        <is>
          <t>@dreimers</t>
        </is>
      </c>
      <c r="F221" s="15" t="n">
        <v>46286.43283564815</v>
      </c>
      <c r="G221" s="15" t="n">
        <v>46286.7097337963</v>
      </c>
      <c r="H221" s="8" t="n">
        <v>6.6</v>
      </c>
      <c r="I221" s="8" t="n">
        <v>0.3</v>
      </c>
      <c r="J221" s="16" t="inlineStr">
        <is>
          <t>2026-09</t>
        </is>
      </c>
      <c r="K221" s="16" t="n"/>
    </row>
    <row r="222">
      <c r="A222" s="3" t="inlineStr">
        <is>
          <t>INV00027793</t>
        </is>
      </c>
      <c r="B222" s="3" t="inlineStr">
        <is>
          <t>RESOLVED</t>
        </is>
      </c>
      <c r="C222" s="3" t="inlineStr">
        <is>
          <t>Ariba</t>
        </is>
      </c>
      <c r="D222" s="3" t="inlineStr">
        <is>
          <t>Diego Cué Vázquez</t>
        </is>
      </c>
      <c r="E222" s="3" t="inlineStr">
        <is>
          <t>@dreimers</t>
        </is>
      </c>
      <c r="F222" s="15" t="n">
        <v>46287.53988425926</v>
      </c>
      <c r="G222" s="15" t="n">
        <v>46287.79787037037</v>
      </c>
      <c r="H222" s="8" t="n">
        <v>6.2</v>
      </c>
      <c r="I222" s="8" t="n">
        <v>0.3</v>
      </c>
      <c r="J222" s="16" t="inlineStr">
        <is>
          <t>2026-09</t>
        </is>
      </c>
      <c r="K222" s="16" t="n"/>
    </row>
    <row r="223">
      <c r="A223" s="3" t="inlineStr"/>
      <c r="B223" s="3" t="inlineStr">
        <is>
          <t>RESOLVED</t>
        </is>
      </c>
      <c r="C223" s="3" t="inlineStr">
        <is>
          <t>URL</t>
        </is>
      </c>
      <c r="D223" s="3" t="inlineStr">
        <is>
          <t>Andres Prieto</t>
        </is>
      </c>
      <c r="E223" s="3" t="inlineStr">
        <is>
          <t>@dreimers</t>
        </is>
      </c>
      <c r="F223" s="15" t="n">
        <v>46287.5980324074</v>
      </c>
      <c r="G223" s="15" t="n">
        <v>46287.79936342593</v>
      </c>
      <c r="H223" s="8" t="n">
        <v>4.8</v>
      </c>
      <c r="I223" s="8" t="n">
        <v>0.2</v>
      </c>
      <c r="J223" s="16" t="inlineStr">
        <is>
          <t>2026-09</t>
        </is>
      </c>
      <c r="K223" s="16" t="n"/>
    </row>
    <row r="224">
      <c r="A224" s="3" t="inlineStr">
        <is>
          <t>INV00024503</t>
        </is>
      </c>
      <c r="B224" s="3" t="inlineStr">
        <is>
          <t>RESOLVED</t>
        </is>
      </c>
      <c r="C224" s="3" t="inlineStr">
        <is>
          <t>Coupa</t>
        </is>
      </c>
      <c r="D224" s="3" t="inlineStr">
        <is>
          <t>Mario Cortés</t>
        </is>
      </c>
      <c r="E224" s="3" t="inlineStr">
        <is>
          <t>@dreimers</t>
        </is>
      </c>
      <c r="F224" s="15" t="n">
        <v>46287.66229166667</v>
      </c>
      <c r="G224" s="15" t="n">
        <v>46287.80402777778</v>
      </c>
      <c r="H224" s="8" t="n">
        <v>3.4</v>
      </c>
      <c r="I224" s="8" t="n">
        <v>0.1</v>
      </c>
      <c r="J224" s="16" t="inlineStr">
        <is>
          <t>2026-09</t>
        </is>
      </c>
      <c r="K224" s="16" t="n"/>
    </row>
    <row r="225">
      <c r="A225" s="3" t="inlineStr">
        <is>
          <t>INV00028912</t>
        </is>
      </c>
      <c r="B225" s="3" t="inlineStr">
        <is>
          <t>RESOLVED</t>
        </is>
      </c>
      <c r="C225" s="3" t="inlineStr">
        <is>
          <t>Coupa</t>
        </is>
      </c>
      <c r="D225" s="3" t="inlineStr">
        <is>
          <t>Julio González Nájera</t>
        </is>
      </c>
      <c r="E225" s="3" t="inlineStr">
        <is>
          <t>@dreimers</t>
        </is>
      </c>
      <c r="F225" s="15" t="n">
        <v>46287.67641203704</v>
      </c>
      <c r="G225" s="15" t="n">
        <v>46287.78775462963</v>
      </c>
      <c r="H225" s="8" t="n">
        <v>2.7</v>
      </c>
      <c r="I225" s="8" t="n">
        <v>0.1</v>
      </c>
      <c r="J225" s="16" t="inlineStr">
        <is>
          <t>2026-09</t>
        </is>
      </c>
      <c r="K225" s="16" t="n"/>
    </row>
    <row r="226">
      <c r="A226" s="3" t="inlineStr">
        <is>
          <t>INV00028935</t>
        </is>
      </c>
      <c r="B226" s="3" t="inlineStr">
        <is>
          <t>RESOLVED</t>
        </is>
      </c>
      <c r="C226" s="3" t="inlineStr">
        <is>
          <t>Coupa</t>
        </is>
      </c>
      <c r="D226" s="3" t="inlineStr">
        <is>
          <t>Julio González Nájera</t>
        </is>
      </c>
      <c r="E226" s="3" t="inlineStr">
        <is>
          <t>@dreimers</t>
        </is>
      </c>
      <c r="F226" s="15" t="n">
        <v>46287.67744212963</v>
      </c>
      <c r="G226" s="15" t="n">
        <v>46287.78943287037</v>
      </c>
      <c r="H226" s="8" t="n">
        <v>2.7</v>
      </c>
      <c r="I226" s="8" t="n">
        <v>0.1</v>
      </c>
      <c r="J226" s="16" t="inlineStr">
        <is>
          <t>2026-09</t>
        </is>
      </c>
      <c r="K226" s="16" t="n"/>
    </row>
    <row r="227">
      <c r="A227" s="3" t="inlineStr">
        <is>
          <t>INV00028936</t>
        </is>
      </c>
      <c r="B227" s="3" t="inlineStr">
        <is>
          <t>RESOLVED</t>
        </is>
      </c>
      <c r="C227" s="3" t="inlineStr">
        <is>
          <t>Coupa</t>
        </is>
      </c>
      <c r="D227" s="3" t="inlineStr">
        <is>
          <t>Julio González Nájera</t>
        </is>
      </c>
      <c r="E227" s="3" t="inlineStr">
        <is>
          <t>@dreimers</t>
        </is>
      </c>
      <c r="F227" s="15" t="n">
        <v>46287.67650462963</v>
      </c>
      <c r="G227" s="15" t="n">
        <v>46287.79113425926</v>
      </c>
      <c r="H227" s="8" t="n">
        <v>2.8</v>
      </c>
      <c r="I227" s="8" t="n">
        <v>0.1</v>
      </c>
      <c r="J227" s="16" t="inlineStr">
        <is>
          <t>2026-09</t>
        </is>
      </c>
      <c r="K227" s="16" t="n"/>
    </row>
    <row r="228">
      <c r="A228" s="3" t="inlineStr">
        <is>
          <t>INV00028937</t>
        </is>
      </c>
      <c r="B228" s="3" t="inlineStr">
        <is>
          <t>RESOLVED</t>
        </is>
      </c>
      <c r="C228" s="3" t="inlineStr">
        <is>
          <t>Coupa</t>
        </is>
      </c>
      <c r="D228" s="3" t="inlineStr">
        <is>
          <t>Julio González Nájera</t>
        </is>
      </c>
      <c r="E228" s="3" t="inlineStr">
        <is>
          <t>@dreimers</t>
        </is>
      </c>
      <c r="F228" s="15" t="n">
        <v>46287.67287037037</v>
      </c>
      <c r="G228" s="15" t="n">
        <v>46287.79298611111</v>
      </c>
      <c r="H228" s="8" t="n">
        <v>2.9</v>
      </c>
      <c r="I228" s="8" t="n">
        <v>0.1</v>
      </c>
      <c r="J228" s="16" t="inlineStr">
        <is>
          <t>2026-09</t>
        </is>
      </c>
      <c r="K228" s="16" t="n"/>
    </row>
    <row r="229">
      <c r="A229" s="3" t="inlineStr">
        <is>
          <t>471600</t>
        </is>
      </c>
      <c r="B229" s="3" t="inlineStr">
        <is>
          <t>OPEN</t>
        </is>
      </c>
      <c r="C229" s="3" t="inlineStr">
        <is>
          <t>Oracle</t>
        </is>
      </c>
      <c r="D229" s="3" t="inlineStr">
        <is>
          <t>Viki Kovaliv</t>
        </is>
      </c>
      <c r="E229" s="3" t="inlineStr">
        <is>
          <t>@dreimers</t>
        </is>
      </c>
      <c r="F229" s="15" t="n">
        <v>46288.36726851852</v>
      </c>
      <c r="G229" s="16" t="n"/>
      <c r="H229" s="8" t="n"/>
      <c r="I229" s="8" t="n"/>
      <c r="J229" s="16" t="inlineStr">
        <is>
          <t>2026-09</t>
        </is>
      </c>
      <c r="K229" s="7" t="n">
        <v>7</v>
      </c>
    </row>
    <row r="230">
      <c r="A230" s="3" t="inlineStr">
        <is>
          <t>INV00027249</t>
        </is>
      </c>
      <c r="B230" s="3" t="inlineStr">
        <is>
          <t>RESOLVED</t>
        </is>
      </c>
      <c r="C230" s="3" t="inlineStr">
        <is>
          <t>Taulia</t>
        </is>
      </c>
      <c r="D230" s="3" t="inlineStr">
        <is>
          <t>Andrea Toscano Rosales</t>
        </is>
      </c>
      <c r="E230" s="3" t="inlineStr">
        <is>
          <t>@dreimers</t>
        </is>
      </c>
      <c r="F230" s="15" t="n">
        <v>46288.36774305555</v>
      </c>
      <c r="G230" s="15" t="n">
        <v>46288.7790625</v>
      </c>
      <c r="H230" s="8" t="n">
        <v>9.9</v>
      </c>
      <c r="I230" s="8" t="n">
        <v>0.4</v>
      </c>
      <c r="J230" s="16" t="inlineStr">
        <is>
          <t>2026-09</t>
        </is>
      </c>
      <c r="K230" s="16" t="n"/>
    </row>
    <row r="231">
      <c r="A231" s="3" t="inlineStr">
        <is>
          <t>INV00027948</t>
        </is>
      </c>
      <c r="B231" s="3" t="inlineStr">
        <is>
          <t>RESOLVED</t>
        </is>
      </c>
      <c r="C231" s="3" t="inlineStr">
        <is>
          <t>Gep Roche Mybuy</t>
        </is>
      </c>
      <c r="D231" s="3" t="inlineStr">
        <is>
          <t>Daniela Gomez Viscaino</t>
        </is>
      </c>
      <c r="E231" s="3" t="inlineStr">
        <is>
          <t>@dreimers</t>
        </is>
      </c>
      <c r="F231" s="15" t="n">
        <v>46288.63711805556</v>
      </c>
      <c r="G231" s="15" t="n">
        <v>46288.79787037037</v>
      </c>
      <c r="H231" s="8" t="n">
        <v>3.9</v>
      </c>
      <c r="I231" s="8" t="n">
        <v>0.2</v>
      </c>
      <c r="J231" s="16" t="inlineStr">
        <is>
          <t>2026-09</t>
        </is>
      </c>
      <c r="K231" s="16" t="n"/>
    </row>
    <row r="232">
      <c r="A232" s="3" t="inlineStr">
        <is>
          <t>470826</t>
        </is>
      </c>
      <c r="B232" s="3" t="inlineStr">
        <is>
          <t>RESOLVED</t>
        </is>
      </c>
      <c r="C232" s="3" t="inlineStr">
        <is>
          <t>Chorus Pro</t>
        </is>
      </c>
      <c r="D232" s="3" t="inlineStr">
        <is>
          <t>Thomas Nunes</t>
        </is>
      </c>
      <c r="E232" s="3" t="inlineStr">
        <is>
          <t>@dreimers</t>
        </is>
      </c>
      <c r="F232" s="15" t="n">
        <v>46289.08143518519</v>
      </c>
      <c r="G232" s="15" t="n">
        <v>46289.79748842592</v>
      </c>
      <c r="H232" s="8" t="n">
        <v>17.2</v>
      </c>
      <c r="I232" s="8" t="n">
        <v>0.7</v>
      </c>
      <c r="J232" s="16" t="inlineStr">
        <is>
          <t>2026-09</t>
        </is>
      </c>
      <c r="K232" s="16" t="n"/>
    </row>
    <row r="233">
      <c r="A233" s="3" t="inlineStr">
        <is>
          <t>INV00026400</t>
        </is>
      </c>
      <c r="B233" s="3" t="inlineStr">
        <is>
          <t>RESOLVED</t>
        </is>
      </c>
      <c r="C233" s="3" t="inlineStr">
        <is>
          <t>Ivalua</t>
        </is>
      </c>
      <c r="D233" s="3" t="inlineStr">
        <is>
          <t>Daniel Osorio</t>
        </is>
      </c>
      <c r="E233" s="3" t="inlineStr">
        <is>
          <t>@dreimers</t>
        </is>
      </c>
      <c r="F233" s="15" t="n">
        <v>46289.38636574074</v>
      </c>
      <c r="G233" s="15" t="n">
        <v>46289.83266203704</v>
      </c>
      <c r="H233" s="8" t="n">
        <v>10.7</v>
      </c>
      <c r="I233" s="8" t="n">
        <v>0.4</v>
      </c>
      <c r="J233" s="16" t="inlineStr">
        <is>
          <t>2026-09</t>
        </is>
      </c>
      <c r="K233" s="16" t="n"/>
    </row>
    <row r="234">
      <c r="A234" s="3" t="inlineStr">
        <is>
          <t>INV00024249</t>
        </is>
      </c>
      <c r="B234" s="3" t="inlineStr">
        <is>
          <t>RESOLVED</t>
        </is>
      </c>
      <c r="C234" s="3" t="inlineStr">
        <is>
          <t>Coupa</t>
        </is>
      </c>
      <c r="D234" s="3" t="inlineStr">
        <is>
          <t>Yulian Trishch</t>
        </is>
      </c>
      <c r="E234" s="3" t="inlineStr">
        <is>
          <t>@dreimers</t>
        </is>
      </c>
      <c r="F234" s="15" t="n">
        <v>46289.39234953704</v>
      </c>
      <c r="G234" s="15" t="n">
        <v>46289.80950231481</v>
      </c>
      <c r="H234" s="8" t="n">
        <v>10</v>
      </c>
      <c r="I234" s="8" t="n">
        <v>0.4</v>
      </c>
      <c r="J234" s="16" t="inlineStr">
        <is>
          <t>2026-09</t>
        </is>
      </c>
      <c r="K234" s="16" t="n"/>
    </row>
    <row r="235">
      <c r="A235" s="3" t="inlineStr">
        <is>
          <t>INV00028053</t>
        </is>
      </c>
      <c r="B235" s="3" t="inlineStr">
        <is>
          <t>RESOLVED</t>
        </is>
      </c>
      <c r="C235" s="3" t="inlineStr">
        <is>
          <t>Coupa</t>
        </is>
      </c>
      <c r="D235" s="3" t="inlineStr">
        <is>
          <t>Imanol Martinez</t>
        </is>
      </c>
      <c r="E235" s="3" t="inlineStr">
        <is>
          <t>@dreimers</t>
        </is>
      </c>
      <c r="F235" s="15" t="n">
        <v>46289.76859953703</v>
      </c>
      <c r="G235" s="15" t="n">
        <v>46289.82268518519</v>
      </c>
      <c r="H235" s="8" t="n">
        <v>1.3</v>
      </c>
      <c r="I235" s="8" t="n">
        <v>0.1</v>
      </c>
      <c r="J235" s="16" t="inlineStr">
        <is>
          <t>2026-09</t>
        </is>
      </c>
      <c r="K235" s="16" t="n"/>
    </row>
    <row r="236">
      <c r="A236" s="3" t="inlineStr">
        <is>
          <t>INV00028515</t>
        </is>
      </c>
      <c r="B236" s="3" t="inlineStr">
        <is>
          <t>RESOLVED</t>
        </is>
      </c>
      <c r="C236" s="3" t="inlineStr">
        <is>
          <t>Coupa</t>
        </is>
      </c>
      <c r="D236" s="3" t="inlineStr">
        <is>
          <t>Diego Cué Vázquez</t>
        </is>
      </c>
      <c r="E236" s="3" t="inlineStr">
        <is>
          <t>@dreimers</t>
        </is>
      </c>
      <c r="F236" s="15" t="n">
        <v>46290.56070601852</v>
      </c>
      <c r="G236" s="15" t="n">
        <v>46290.72655092592</v>
      </c>
      <c r="H236" s="8" t="n">
        <v>4</v>
      </c>
      <c r="I236" s="8" t="n">
        <v>0.2</v>
      </c>
      <c r="J236" s="16" t="inlineStr">
        <is>
          <t>2026-09</t>
        </is>
      </c>
      <c r="K236" s="16" t="n"/>
    </row>
    <row r="237">
      <c r="A237" s="3" t="inlineStr">
        <is>
          <t>INV00029180</t>
        </is>
      </c>
      <c r="B237" s="3" t="inlineStr">
        <is>
          <t>RESOLVED</t>
        </is>
      </c>
      <c r="C237" s="3" t="inlineStr">
        <is>
          <t>Coupa</t>
        </is>
      </c>
      <c r="D237" s="3" t="inlineStr">
        <is>
          <t>Diego Cué Vázquez</t>
        </is>
      </c>
      <c r="E237" s="3" t="inlineStr">
        <is>
          <t>@dreimers</t>
        </is>
      </c>
      <c r="F237" s="15" t="n">
        <v>46290.56114583334</v>
      </c>
      <c r="G237" s="15" t="n">
        <v>46290.73549768519</v>
      </c>
      <c r="H237" s="8" t="n">
        <v>4.2</v>
      </c>
      <c r="I237" s="8" t="n">
        <v>0.2</v>
      </c>
      <c r="J237" s="16" t="inlineStr">
        <is>
          <t>2026-09</t>
        </is>
      </c>
      <c r="K237" s="16" t="n"/>
    </row>
    <row r="238">
      <c r="A238" s="3" t="inlineStr">
        <is>
          <t>INV00029190</t>
        </is>
      </c>
      <c r="B238" s="3" t="inlineStr">
        <is>
          <t>RESOLVED</t>
        </is>
      </c>
      <c r="C238" s="3" t="inlineStr">
        <is>
          <t>URL</t>
        </is>
      </c>
      <c r="D238" s="3" t="inlineStr">
        <is>
          <t>Diego Cué Vázquez</t>
        </is>
      </c>
      <c r="E238" s="3" t="inlineStr">
        <is>
          <t>@dreimers</t>
        </is>
      </c>
      <c r="F238" s="15" t="n">
        <v>46290.59621527778</v>
      </c>
      <c r="G238" s="15" t="n">
        <v>46290.74753472222</v>
      </c>
      <c r="H238" s="8" t="n">
        <v>3.6</v>
      </c>
      <c r="I238" s="8" t="n">
        <v>0.2</v>
      </c>
      <c r="J238" s="16" t="inlineStr">
        <is>
          <t>2026-09</t>
        </is>
      </c>
      <c r="K238" s="16" t="n"/>
    </row>
    <row r="239">
      <c r="A239" s="3" t="inlineStr">
        <is>
          <t>INV00028065</t>
        </is>
      </c>
      <c r="B239" s="3" t="inlineStr">
        <is>
          <t>RESOLVED</t>
        </is>
      </c>
      <c r="C239" s="3" t="inlineStr">
        <is>
          <t>Coupa</t>
        </is>
      </c>
      <c r="D239" s="3" t="inlineStr">
        <is>
          <t>Yulian Trishch</t>
        </is>
      </c>
      <c r="E239" s="3" t="inlineStr">
        <is>
          <t>@dreimers</t>
        </is>
      </c>
      <c r="F239" s="15" t="n">
        <v>46293.15099537037</v>
      </c>
      <c r="G239" s="15" t="n">
        <v>46293.76486111111</v>
      </c>
      <c r="H239" s="8" t="n">
        <v>14.7</v>
      </c>
      <c r="I239" s="8" t="n">
        <v>0.6</v>
      </c>
      <c r="J239" s="16" t="inlineStr">
        <is>
          <t>2026-09</t>
        </is>
      </c>
      <c r="K239" s="16" t="n"/>
    </row>
    <row r="240">
      <c r="A240" s="3" t="inlineStr">
        <is>
          <t>475401</t>
        </is>
      </c>
      <c r="B240" s="3" t="inlineStr">
        <is>
          <t>RESOLVED</t>
        </is>
      </c>
      <c r="C240" s="3" t="inlineStr">
        <is>
          <t>Coupa</t>
        </is>
      </c>
      <c r="D240" s="3" t="inlineStr">
        <is>
          <t>Fabrizio Rico del Mazo</t>
        </is>
      </c>
      <c r="E240" s="3" t="inlineStr">
        <is>
          <t>@dreimers</t>
        </is>
      </c>
      <c r="F240" s="15" t="n">
        <v>46293.43451388889</v>
      </c>
      <c r="G240" s="15" t="n">
        <v>46293.76825231482</v>
      </c>
      <c r="H240" s="8" t="n">
        <v>8</v>
      </c>
      <c r="I240" s="8" t="n">
        <v>0.3</v>
      </c>
      <c r="J240" s="16" t="inlineStr">
        <is>
          <t>2026-09</t>
        </is>
      </c>
      <c r="K240" s="16" t="n"/>
    </row>
    <row r="241">
      <c r="A241" s="3" t="inlineStr"/>
      <c r="B241" s="3" t="inlineStr">
        <is>
          <t>RESOLVED</t>
        </is>
      </c>
      <c r="C241" s="3" t="inlineStr">
        <is>
          <t>Ariba</t>
        </is>
      </c>
      <c r="D241" s="3" t="inlineStr">
        <is>
          <t>Mario Cortés</t>
        </is>
      </c>
      <c r="E241" s="3" t="inlineStr">
        <is>
          <t>@dreimers</t>
        </is>
      </c>
      <c r="F241" s="15" t="n">
        <v>46293.50118055556</v>
      </c>
      <c r="G241" s="15" t="n">
        <v>46293.76732638889</v>
      </c>
      <c r="H241" s="8" t="n">
        <v>6.4</v>
      </c>
      <c r="I241" s="8" t="n">
        <v>0.3</v>
      </c>
      <c r="J241" s="16" t="inlineStr">
        <is>
          <t>2026-09</t>
        </is>
      </c>
      <c r="K241" s="16" t="n"/>
    </row>
    <row r="242">
      <c r="A242" s="3" t="inlineStr">
        <is>
          <t>468460</t>
        </is>
      </c>
      <c r="B242" s="3" t="inlineStr">
        <is>
          <t>RESOLVED</t>
        </is>
      </c>
      <c r="C242" s="3" t="inlineStr">
        <is>
          <t>Zycus Supplier N</t>
        </is>
      </c>
      <c r="D242" s="3" t="inlineStr">
        <is>
          <t>Anaid Labat</t>
        </is>
      </c>
      <c r="E242" s="3" t="inlineStr">
        <is>
          <t>@dreimers</t>
        </is>
      </c>
      <c r="F242" s="15" t="n">
        <v>46293.67533564815</v>
      </c>
      <c r="G242" s="15" t="n">
        <v>46293.77416666667</v>
      </c>
      <c r="H242" s="8" t="n">
        <v>2.4</v>
      </c>
      <c r="I242" s="8" t="n">
        <v>0.1</v>
      </c>
      <c r="J242" s="16" t="inlineStr">
        <is>
          <t>2026-09</t>
        </is>
      </c>
      <c r="K242" s="16" t="n"/>
    </row>
    <row r="243">
      <c r="A243" s="3" t="inlineStr"/>
      <c r="B243" s="3" t="inlineStr">
        <is>
          <t>RESOLVED</t>
        </is>
      </c>
      <c r="C243" s="3" t="inlineStr">
        <is>
          <t>URL</t>
        </is>
      </c>
      <c r="D243" s="3" t="inlineStr">
        <is>
          <t>Mario Cortés</t>
        </is>
      </c>
      <c r="E243" s="3" t="inlineStr">
        <is>
          <t>@dreimers</t>
        </is>
      </c>
      <c r="F243" s="15" t="n">
        <v>46293.82313657407</v>
      </c>
      <c r="G243" s="15" t="n">
        <v>46295.65490740741</v>
      </c>
      <c r="H243" s="8" t="n">
        <v>44</v>
      </c>
      <c r="I243" s="8" t="n">
        <v>1.8</v>
      </c>
      <c r="J243" s="16" t="inlineStr">
        <is>
          <t>2026-09</t>
        </is>
      </c>
      <c r="K243" s="16" t="n"/>
    </row>
    <row r="244">
      <c r="A244" s="3" t="inlineStr">
        <is>
          <t>INV00024521</t>
        </is>
      </c>
      <c r="B244" s="3" t="inlineStr">
        <is>
          <t>RESOLVED</t>
        </is>
      </c>
      <c r="C244" s="3" t="inlineStr">
        <is>
          <t>Ariba</t>
        </is>
      </c>
      <c r="D244" s="3" t="inlineStr">
        <is>
          <t>George Kahy</t>
        </is>
      </c>
      <c r="E244" s="3" t="inlineStr">
        <is>
          <t>@dreimers</t>
        </is>
      </c>
      <c r="F244" s="15" t="n">
        <v>46294.00623842593</v>
      </c>
      <c r="G244" s="15" t="n">
        <v>46295.67729166667</v>
      </c>
      <c r="H244" s="8" t="n">
        <v>40.1</v>
      </c>
      <c r="I244" s="8" t="n">
        <v>1.7</v>
      </c>
      <c r="J244" s="16" t="inlineStr">
        <is>
          <t>2026-09</t>
        </is>
      </c>
      <c r="K244" s="16" t="n"/>
    </row>
    <row r="245">
      <c r="A245" s="3" t="inlineStr">
        <is>
          <t>463952</t>
        </is>
      </c>
      <c r="B245" s="3" t="inlineStr">
        <is>
          <t>RESOLVED</t>
        </is>
      </c>
      <c r="C245" s="3" t="inlineStr">
        <is>
          <t>URL</t>
        </is>
      </c>
      <c r="D245" s="3" t="inlineStr">
        <is>
          <t>Edgar Pérez</t>
        </is>
      </c>
      <c r="E245" s="3" t="inlineStr">
        <is>
          <t>@dreimers</t>
        </is>
      </c>
      <c r="F245" s="15" t="n">
        <v>46294.48827546297</v>
      </c>
      <c r="G245" s="15" t="n">
        <v>46295.68346064815</v>
      </c>
      <c r="H245" s="8" t="n">
        <v>28.7</v>
      </c>
      <c r="I245" s="8" t="n">
        <v>1.2</v>
      </c>
      <c r="J245" s="16" t="inlineStr">
        <is>
          <t>2026-09</t>
        </is>
      </c>
      <c r="K245" s="16" t="n"/>
    </row>
    <row r="246">
      <c r="A246" s="3" t="inlineStr">
        <is>
          <t>INV00027503</t>
        </is>
      </c>
      <c r="B246" s="3" t="inlineStr">
        <is>
          <t>OPEN</t>
        </is>
      </c>
      <c r="C246" s="3" t="inlineStr">
        <is>
          <t>Coupa</t>
        </is>
      </c>
      <c r="D246" s="3" t="inlineStr">
        <is>
          <t>Daniela Gomez Viscaino</t>
        </is>
      </c>
      <c r="E246" s="3" t="inlineStr">
        <is>
          <t>@dreimers</t>
        </is>
      </c>
      <c r="F246" s="15" t="n">
        <v>46294.65384259259</v>
      </c>
      <c r="G246" s="16" t="n"/>
      <c r="H246" s="8" t="n"/>
      <c r="I246" s="8" t="n"/>
      <c r="J246" s="16" t="inlineStr">
        <is>
          <t>2026-09</t>
        </is>
      </c>
      <c r="K246" s="7" t="n">
        <v>1</v>
      </c>
    </row>
    <row r="247">
      <c r="A247" s="3" t="inlineStr">
        <is>
          <t>INV00029341</t>
        </is>
      </c>
      <c r="B247" s="3" t="inlineStr">
        <is>
          <t>RESOLVED</t>
        </is>
      </c>
      <c r="C247" s="3" t="inlineStr">
        <is>
          <t>Coupa</t>
        </is>
      </c>
      <c r="D247" s="3" t="inlineStr">
        <is>
          <t>Daniela Gomez Viscaino</t>
        </is>
      </c>
      <c r="E247" s="3" t="inlineStr">
        <is>
          <t>@dreimers</t>
        </is>
      </c>
      <c r="F247" s="15" t="n">
        <v>46294.65520833333</v>
      </c>
      <c r="G247" s="15" t="n">
        <v>46295.68671296296</v>
      </c>
      <c r="H247" s="8" t="n">
        <v>24.8</v>
      </c>
      <c r="I247" s="8" t="n">
        <v>1</v>
      </c>
      <c r="J247" s="16" t="inlineStr">
        <is>
          <t>2026-09</t>
        </is>
      </c>
      <c r="K247" s="16" t="n"/>
    </row>
    <row r="248">
      <c r="A248" s="3" t="inlineStr">
        <is>
          <t>INV00027611</t>
        </is>
      </c>
      <c r="B248" s="3" t="inlineStr">
        <is>
          <t>OPEN</t>
        </is>
      </c>
      <c r="C248" s="3" t="inlineStr">
        <is>
          <t>Ariba</t>
        </is>
      </c>
      <c r="D248" s="3" t="inlineStr">
        <is>
          <t>Daniela Gomez Viscaino</t>
        </is>
      </c>
      <c r="E248" s="3" t="inlineStr">
        <is>
          <t>@dreimers</t>
        </is>
      </c>
      <c r="F248" s="15" t="n">
        <v>46294.6583912037</v>
      </c>
      <c r="G248" s="16" t="n"/>
      <c r="H248" s="8" t="n"/>
      <c r="I248" s="8" t="n"/>
      <c r="J248" s="16" t="inlineStr">
        <is>
          <t>2026-09</t>
        </is>
      </c>
      <c r="K248" s="7" t="n">
        <v>1</v>
      </c>
    </row>
    <row r="249">
      <c r="A249" s="3" t="inlineStr">
        <is>
          <t>INV00029328</t>
        </is>
      </c>
      <c r="B249" s="3" t="inlineStr">
        <is>
          <t>OPEN</t>
        </is>
      </c>
      <c r="C249" s="3" t="inlineStr">
        <is>
          <t>John Deere E-Inv</t>
        </is>
      </c>
      <c r="D249" s="3" t="inlineStr">
        <is>
          <t>Daniela Gomez Viscaino</t>
        </is>
      </c>
      <c r="E249" s="3" t="inlineStr">
        <is>
          <t>@dreimers</t>
        </is>
      </c>
      <c r="F249" s="15" t="n">
        <v>46294.66214120371</v>
      </c>
      <c r="G249" s="16" t="n"/>
      <c r="H249" s="8" t="n"/>
      <c r="I249" s="8" t="n"/>
      <c r="J249" s="16" t="inlineStr">
        <is>
          <t>2026-09</t>
        </is>
      </c>
      <c r="K249" s="7" t="n">
        <v>1</v>
      </c>
    </row>
    <row r="250">
      <c r="A250" s="3" t="inlineStr">
        <is>
          <t>INV00028201</t>
        </is>
      </c>
      <c r="B250" s="3" t="inlineStr">
        <is>
          <t>RESOLVED</t>
        </is>
      </c>
      <c r="C250" s="3" t="inlineStr">
        <is>
          <t>Coupa</t>
        </is>
      </c>
      <c r="D250" s="3" t="inlineStr">
        <is>
          <t>Daniela Gomez Viscaino</t>
        </is>
      </c>
      <c r="E250" s="3" t="inlineStr">
        <is>
          <t>@dreimers</t>
        </is>
      </c>
      <c r="F250" s="15" t="n">
        <v>46294.66299768518</v>
      </c>
      <c r="G250" s="15" t="n">
        <v>46295.72255787037</v>
      </c>
      <c r="H250" s="8" t="n">
        <v>25.4</v>
      </c>
      <c r="I250" s="8" t="n">
        <v>1.1</v>
      </c>
      <c r="J250" s="16" t="inlineStr">
        <is>
          <t>2026-09</t>
        </is>
      </c>
      <c r="K250" s="16" t="n"/>
    </row>
    <row r="251">
      <c r="A251" s="3" t="inlineStr"/>
      <c r="B251" s="3" t="inlineStr">
        <is>
          <t>RESOLVED</t>
        </is>
      </c>
      <c r="C251" s="3" t="inlineStr">
        <is>
          <t>Coupa</t>
        </is>
      </c>
      <c r="D251" s="3" t="inlineStr">
        <is>
          <t>Mario Cortés</t>
        </is>
      </c>
      <c r="E251" s="3" t="inlineStr">
        <is>
          <t>@dreimers</t>
        </is>
      </c>
      <c r="F251" s="15" t="n">
        <v>46295.43960648148</v>
      </c>
      <c r="G251" s="15" t="n">
        <v>46295.72621527778</v>
      </c>
      <c r="H251" s="8" t="n">
        <v>6.9</v>
      </c>
      <c r="I251" s="8" t="n">
        <v>0.3</v>
      </c>
      <c r="J251" s="16" t="inlineStr">
        <is>
          <t>2026-09</t>
        </is>
      </c>
      <c r="K251" s="16" t="n"/>
    </row>
    <row r="252">
      <c r="A252" s="3" t="inlineStr"/>
      <c r="B252" s="3" t="inlineStr">
        <is>
          <t>RESOLVED</t>
        </is>
      </c>
      <c r="C252" s="3" t="inlineStr">
        <is>
          <t>Sap</t>
        </is>
      </c>
      <c r="D252" s="3" t="inlineStr">
        <is>
          <t>Sebastian Novelo</t>
        </is>
      </c>
      <c r="E252" s="3" t="inlineStr">
        <is>
          <t>@dreimers</t>
        </is>
      </c>
      <c r="F252" s="15" t="n">
        <v>46295.47519675926</v>
      </c>
      <c r="G252" s="15" t="n">
        <v>46295.7271875</v>
      </c>
      <c r="H252" s="8" t="n">
        <v>6</v>
      </c>
      <c r="I252" s="8" t="n">
        <v>0.3</v>
      </c>
      <c r="J252" s="16" t="inlineStr">
        <is>
          <t>2026-09</t>
        </is>
      </c>
      <c r="K252" s="16" t="n"/>
    </row>
    <row r="253">
      <c r="A253" s="3" t="inlineStr">
        <is>
          <t>INV00029332</t>
        </is>
      </c>
      <c r="B253" s="3" t="inlineStr">
        <is>
          <t>OPEN</t>
        </is>
      </c>
      <c r="C253" s="3" t="inlineStr">
        <is>
          <t>Siemens</t>
        </is>
      </c>
      <c r="D253" s="3" t="inlineStr">
        <is>
          <t>Maria de Lourdes López Núñez</t>
        </is>
      </c>
      <c r="E253" s="3" t="inlineStr">
        <is>
          <t>@dreimers</t>
        </is>
      </c>
      <c r="F253" s="15" t="n">
        <v>46295.48530092592</v>
      </c>
      <c r="G253" s="16" t="n"/>
      <c r="H253" s="8" t="n"/>
      <c r="I253" s="8" t="n"/>
      <c r="J253" s="16" t="inlineStr">
        <is>
          <t>2026-09</t>
        </is>
      </c>
      <c r="K253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6" customWidth="1" min="5" max="5"/>
    <col width="10" customWidth="1" min="6" max="6"/>
  </cols>
  <sheetData>
    <row r="1">
      <c r="A1" s="17" t="inlineStr">
        <is>
          <t>OPEN AT Sep - 26 MONTH-END — not resolved by month-end</t>
        </is>
      </c>
    </row>
    <row r="3">
      <c r="A3" s="5" t="inlineStr">
        <is>
          <t>Invoice Number</t>
        </is>
      </c>
      <c r="B3" s="5" t="inlineStr">
        <is>
          <t>Portal</t>
        </is>
      </c>
      <c r="C3" s="5" t="inlineStr">
        <is>
          <t>Submitted By</t>
        </is>
      </c>
      <c r="D3" s="5" t="inlineStr">
        <is>
          <t>Collector assigned</t>
        </is>
      </c>
      <c r="E3" s="5" t="inlineStr">
        <is>
          <t>Submit Timestamp</t>
        </is>
      </c>
      <c r="F3" s="5" t="inlineStr">
        <is>
          <t>Days open</t>
        </is>
      </c>
    </row>
    <row r="4">
      <c r="A4" s="3" t="inlineStr">
        <is>
          <t>472138</t>
        </is>
      </c>
      <c r="B4" s="3" t="inlineStr">
        <is>
          <t>Ariba</t>
        </is>
      </c>
      <c r="C4" s="3" t="inlineStr">
        <is>
          <t>Alejandro Salazar Copado</t>
        </is>
      </c>
      <c r="D4" s="3" t="inlineStr">
        <is>
          <t>@dreimers</t>
        </is>
      </c>
      <c r="E4" s="15" t="n">
        <v>46269.69914351852</v>
      </c>
      <c r="F4" s="18" t="n">
        <v>26</v>
      </c>
    </row>
    <row r="5">
      <c r="A5" s="3" t="inlineStr">
        <is>
          <t>INV00027000</t>
        </is>
      </c>
      <c r="B5" s="3" t="inlineStr">
        <is>
          <t>URL</t>
        </is>
      </c>
      <c r="C5" s="3" t="inlineStr">
        <is>
          <t>Viki Kovaliv</t>
        </is>
      </c>
      <c r="D5" s="3" t="inlineStr">
        <is>
          <t>@dreimers</t>
        </is>
      </c>
      <c r="E5" s="15" t="n">
        <v>46273.38089120371</v>
      </c>
      <c r="F5" s="18" t="n">
        <v>22</v>
      </c>
    </row>
    <row r="6">
      <c r="A6" s="3" t="inlineStr">
        <is>
          <t>INV00027789</t>
        </is>
      </c>
      <c r="B6" s="3" t="inlineStr">
        <is>
          <t>Ariba</t>
        </is>
      </c>
      <c r="C6" s="3" t="inlineStr">
        <is>
          <t>Hinata Igawa</t>
        </is>
      </c>
      <c r="D6" s="3" t="inlineStr"/>
      <c r="E6" s="15" t="n">
        <v>46276.00186342592</v>
      </c>
      <c r="F6" s="18" t="n">
        <v>19</v>
      </c>
    </row>
    <row r="7">
      <c r="A7" s="3" t="inlineStr">
        <is>
          <t>INV00027927</t>
        </is>
      </c>
      <c r="B7" s="3" t="inlineStr">
        <is>
          <t>Ariba</t>
        </is>
      </c>
      <c r="C7" s="3" t="inlineStr">
        <is>
          <t>Hinata Igawa</t>
        </is>
      </c>
      <c r="D7" s="3" t="inlineStr"/>
      <c r="E7" s="15" t="n">
        <v>46276.02268518518</v>
      </c>
      <c r="F7" s="18" t="n">
        <v>19</v>
      </c>
    </row>
    <row r="8">
      <c r="A8" s="3" t="inlineStr">
        <is>
          <t>INV00028223</t>
        </is>
      </c>
      <c r="B8" s="3" t="inlineStr">
        <is>
          <t>Peppol</t>
        </is>
      </c>
      <c r="C8" s="3" t="inlineStr">
        <is>
          <t>Rosario Flores</t>
        </is>
      </c>
      <c r="D8" s="3" t="inlineStr">
        <is>
          <t>@dreimers</t>
        </is>
      </c>
      <c r="E8" s="15" t="n">
        <v>46276.64129629629</v>
      </c>
      <c r="F8" s="18" t="n">
        <v>19</v>
      </c>
    </row>
    <row r="9">
      <c r="A9" s="3" t="inlineStr">
        <is>
          <t>466580</t>
        </is>
      </c>
      <c r="B9" s="3" t="inlineStr">
        <is>
          <t>Vendors@Gov</t>
        </is>
      </c>
      <c r="C9" s="3" t="inlineStr">
        <is>
          <t>George Kahy</t>
        </is>
      </c>
      <c r="D9" s="3" t="inlineStr">
        <is>
          <t>@dreimers</t>
        </is>
      </c>
      <c r="E9" s="15" t="n">
        <v>46282.87568287037</v>
      </c>
      <c r="F9" s="18" t="n">
        <v>13</v>
      </c>
    </row>
    <row r="10">
      <c r="A10" s="3" t="inlineStr">
        <is>
          <t>INV00028076</t>
        </is>
      </c>
      <c r="B10" s="3" t="inlineStr">
        <is>
          <t>Coupa</t>
        </is>
      </c>
      <c r="C10" s="3" t="inlineStr">
        <is>
          <t>Viki Kovaliv</t>
        </is>
      </c>
      <c r="D10" s="3" t="inlineStr">
        <is>
          <t>@dreimers</t>
        </is>
      </c>
      <c r="E10" s="15" t="n">
        <v>46286.39118055555</v>
      </c>
      <c r="F10" s="18" t="n">
        <v>9</v>
      </c>
    </row>
    <row r="11">
      <c r="A11" s="3" t="inlineStr">
        <is>
          <t>471600</t>
        </is>
      </c>
      <c r="B11" s="3" t="inlineStr">
        <is>
          <t>Oracle</t>
        </is>
      </c>
      <c r="C11" s="3" t="inlineStr">
        <is>
          <t>Viki Kovaliv</t>
        </is>
      </c>
      <c r="D11" s="3" t="inlineStr">
        <is>
          <t>@dreimers</t>
        </is>
      </c>
      <c r="E11" s="15" t="n">
        <v>46288.36726851852</v>
      </c>
      <c r="F11" s="18" t="n">
        <v>7</v>
      </c>
    </row>
    <row r="12">
      <c r="A12" s="3" t="inlineStr">
        <is>
          <t>INV00027503</t>
        </is>
      </c>
      <c r="B12" s="3" t="inlineStr">
        <is>
          <t>Coupa</t>
        </is>
      </c>
      <c r="C12" s="3" t="inlineStr">
        <is>
          <t>Daniela Gomez Viscaino</t>
        </is>
      </c>
      <c r="D12" s="3" t="inlineStr">
        <is>
          <t>@dreimers</t>
        </is>
      </c>
      <c r="E12" s="15" t="n">
        <v>46294.65384259259</v>
      </c>
      <c r="F12" s="19" t="n">
        <v>1</v>
      </c>
    </row>
    <row r="13">
      <c r="A13" s="3" t="inlineStr">
        <is>
          <t>INV00027611</t>
        </is>
      </c>
      <c r="B13" s="3" t="inlineStr">
        <is>
          <t>Ariba</t>
        </is>
      </c>
      <c r="C13" s="3" t="inlineStr">
        <is>
          <t>Daniela Gomez Viscaino</t>
        </is>
      </c>
      <c r="D13" s="3" t="inlineStr">
        <is>
          <t>@dreimers</t>
        </is>
      </c>
      <c r="E13" s="15" t="n">
        <v>46294.6583912037</v>
      </c>
      <c r="F13" s="19" t="n">
        <v>1</v>
      </c>
    </row>
    <row r="14">
      <c r="A14" s="3" t="inlineStr">
        <is>
          <t>INV00029328</t>
        </is>
      </c>
      <c r="B14" s="3" t="inlineStr">
        <is>
          <t>John Deere E-Inv</t>
        </is>
      </c>
      <c r="C14" s="3" t="inlineStr">
        <is>
          <t>Daniela Gomez Viscaino</t>
        </is>
      </c>
      <c r="D14" s="3" t="inlineStr">
        <is>
          <t>@dreimers</t>
        </is>
      </c>
      <c r="E14" s="15" t="n">
        <v>46294.66214120371</v>
      </c>
      <c r="F14" s="19" t="n">
        <v>1</v>
      </c>
    </row>
    <row r="15">
      <c r="A15" s="3" t="inlineStr">
        <is>
          <t>INV00029332</t>
        </is>
      </c>
      <c r="B15" s="3" t="inlineStr">
        <is>
          <t>Siemens</t>
        </is>
      </c>
      <c r="C15" s="3" t="inlineStr">
        <is>
          <t>Maria de Lourdes López Núñez</t>
        </is>
      </c>
      <c r="D15" s="3" t="inlineStr">
        <is>
          <t>@dreimers</t>
        </is>
      </c>
      <c r="E15" s="15" t="n">
        <v>46295.48530092592</v>
      </c>
      <c r="F15" s="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5" customWidth="1" min="7" max="7"/>
  </cols>
  <sheetData>
    <row r="1">
      <c r="A1" s="17" t="inlineStr">
        <is>
          <t>Sep - 26 UPLOADS RESOLVED IN MORE THAN 2 DAYS</t>
        </is>
      </c>
    </row>
    <row r="3">
      <c r="A3" s="5" t="inlineStr">
        <is>
          <t>Invoice Number</t>
        </is>
      </c>
      <c r="B3" s="5" t="inlineStr">
        <is>
          <t>Portal</t>
        </is>
      </c>
      <c r="C3" s="5" t="inlineStr">
        <is>
          <t>Submitted By</t>
        </is>
      </c>
      <c r="D3" s="5" t="inlineStr">
        <is>
          <t>Collector assigned</t>
        </is>
      </c>
      <c r="E3" s="5" t="inlineStr">
        <is>
          <t>Submit Timestamp</t>
        </is>
      </c>
      <c r="F3" s="5" t="inlineStr">
        <is>
          <t>Resolved Timestamp</t>
        </is>
      </c>
      <c r="G3" s="5" t="inlineStr">
        <is>
          <t>Resolution days</t>
        </is>
      </c>
    </row>
    <row r="4">
      <c r="A4" s="3" t="inlineStr">
        <is>
          <t>470826</t>
        </is>
      </c>
      <c r="B4" s="3" t="inlineStr">
        <is>
          <t>Chorus Pro</t>
        </is>
      </c>
      <c r="C4" s="3" t="inlineStr">
        <is>
          <t>Gabriela Kwaśniewska</t>
        </is>
      </c>
      <c r="D4" s="3" t="inlineStr">
        <is>
          <t>@dreimers</t>
        </is>
      </c>
      <c r="E4" s="15" t="n">
        <v>46268.34320601852</v>
      </c>
      <c r="F4" s="15" t="n">
        <v>46289.79761574074</v>
      </c>
      <c r="G4" s="20">
        <f>(F4-E4)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2026-10-20T01:05:51Z</dcterms:created>
  <dcterms:modified xsi:type="dcterms:W3CDTF">2026-10-20T01:05:51Z</dcterms:modified>
</cp:coreProperties>
</file>