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 Op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34" customWidth="1" min="3" max="3"/>
    <col width="26" customWidth="1" min="4" max="4"/>
    <col width="15" customWidth="1" min="5" max="5"/>
    <col width="13" customWidth="1" min="6" max="6"/>
    <col width="20" customWidth="1" min="7" max="7"/>
    <col width="15" customWidth="1" min="8" max="8"/>
    <col width="14" customWidth="1" min="9" max="9"/>
  </cols>
  <sheetData>
    <row r="1" ht="28" customHeight="1">
      <c r="A1" s="1" t="inlineStr">
        <is>
          <t>Exception ID</t>
        </is>
      </c>
      <c r="B1" s="1" t="inlineStr">
        <is>
          <t>Invoice Number</t>
        </is>
      </c>
      <c r="C1" s="1" t="inlineStr">
        <is>
          <t>Buyer Name</t>
        </is>
      </c>
      <c r="D1" s="1" t="inlineStr">
        <is>
          <t>Issue Reason</t>
        </is>
      </c>
      <c r="E1" s="1" t="inlineStr">
        <is>
          <t>Fecha de Creación</t>
        </is>
      </c>
      <c r="F1" s="1" t="inlineStr">
        <is>
          <t>Días Abierta</t>
        </is>
      </c>
      <c r="G1" s="1" t="inlineStr">
        <is>
          <t>¿Ya se tomó? (First Note)</t>
        </is>
      </c>
      <c r="H1" s="1" t="inlineStr">
        <is>
          <t>Fecha First Note</t>
        </is>
      </c>
      <c r="I1" s="1" t="inlineStr">
        <is>
          <t>Assignee</t>
        </is>
      </c>
    </row>
    <row r="2">
      <c r="A2" s="2" t="inlineStr">
        <is>
          <t>685941c4495629abc485e6f5</t>
        </is>
      </c>
      <c r="B2" s="3" t="inlineStr">
        <is>
          <t>442214</t>
        </is>
      </c>
      <c r="C2" s="2" t="inlineStr">
        <is>
          <t>The Procter &amp; Gamble Company Procter &amp; Gamble - Baby Care</t>
        </is>
      </c>
      <c r="D2" s="2" t="inlineStr">
        <is>
          <t>PO doesn't exist</t>
        </is>
      </c>
      <c r="E2" s="4" t="n">
        <v>45831</v>
      </c>
      <c r="F2" s="5">
        <f>TODAY()-E2</f>
        <v/>
      </c>
      <c r="G2" s="6" t="inlineStr">
        <is>
          <t>Sí</t>
        </is>
      </c>
      <c r="H2" s="4" t="n">
        <v>45831</v>
      </c>
      <c r="I2" s="2" t="inlineStr">
        <is>
          <t>April</t>
        </is>
      </c>
    </row>
    <row r="3">
      <c r="A3" s="2" t="inlineStr">
        <is>
          <t>69013172d5516fe8887865da</t>
        </is>
      </c>
      <c r="B3" s="3" t="inlineStr">
        <is>
          <t>453781</t>
        </is>
      </c>
      <c r="C3" s="2" t="inlineStr">
        <is>
          <t>The Procter &amp; Gamble Company | Procter &amp; Gamble - Fabric Care</t>
        </is>
      </c>
      <c r="D3" s="2" t="inlineStr">
        <is>
          <t>Missing PO</t>
        </is>
      </c>
      <c r="E3" s="4" t="n">
        <v>45958</v>
      </c>
      <c r="F3" s="5">
        <f>TODAY()-E3</f>
        <v/>
      </c>
      <c r="G3" s="6" t="inlineStr">
        <is>
          <t>Sí</t>
        </is>
      </c>
      <c r="H3" s="4" t="n">
        <v>45964</v>
      </c>
      <c r="I3" s="2" t="inlineStr">
        <is>
          <t>April</t>
        </is>
      </c>
    </row>
    <row r="4">
      <c r="A4" s="2" t="inlineStr">
        <is>
          <t>690782c801c029fc732739bc</t>
        </is>
      </c>
      <c r="B4" s="3" t="inlineStr">
        <is>
          <t>453987</t>
        </is>
      </c>
      <c r="C4" s="2" t="inlineStr">
        <is>
          <t>CO-OPERATIVE GROUP LIMITED</t>
        </is>
      </c>
      <c r="D4" s="2" t="inlineStr">
        <is>
          <t>Missing PO</t>
        </is>
      </c>
      <c r="E4" s="4" t="n">
        <v>45963</v>
      </c>
      <c r="F4" s="5">
        <f>TODAY()-E4</f>
        <v/>
      </c>
      <c r="G4" s="6" t="inlineStr">
        <is>
          <t>Sí</t>
        </is>
      </c>
      <c r="H4" s="4" t="n">
        <v>45964</v>
      </c>
      <c r="I4" s="2" t="inlineStr">
        <is>
          <t>April</t>
        </is>
      </c>
    </row>
    <row r="5">
      <c r="A5" s="2" t="inlineStr">
        <is>
          <t>692dac2b7bcadd8811f1c492</t>
        </is>
      </c>
      <c r="B5" s="3" t="inlineStr">
        <is>
          <t>452899</t>
        </is>
      </c>
      <c r="C5" s="2" t="inlineStr">
        <is>
          <t>Woolworths Group Limited</t>
        </is>
      </c>
      <c r="D5" s="2" t="inlineStr">
        <is>
          <t>Non-submission issue</t>
        </is>
      </c>
      <c r="E5" s="4" t="n">
        <v>45992</v>
      </c>
      <c r="F5" s="5">
        <f>TODAY()-E5</f>
        <v/>
      </c>
      <c r="G5" s="6" t="inlineStr">
        <is>
          <t>Sí</t>
        </is>
      </c>
      <c r="H5" s="4" t="n">
        <v>46002</v>
      </c>
      <c r="I5" s="2" t="inlineStr">
        <is>
          <t>Diego, Kim</t>
        </is>
      </c>
    </row>
    <row r="6">
      <c r="A6" s="2" t="inlineStr">
        <is>
          <t>6950fccc13eb7bdc2d402042</t>
        </is>
      </c>
      <c r="B6" s="3" t="inlineStr">
        <is>
          <t>459341</t>
        </is>
      </c>
      <c r="C6" s="2" t="inlineStr">
        <is>
          <t>Nanyang Technological University</t>
        </is>
      </c>
      <c r="D6" s="2" t="inlineStr">
        <is>
          <t>Submission functionality is unavailable</t>
        </is>
      </c>
      <c r="E6" s="4" t="n">
        <v>46019</v>
      </c>
      <c r="F6" s="5">
        <f>TODAY()-E6</f>
        <v/>
      </c>
      <c r="G6" s="6" t="inlineStr">
        <is>
          <t>Sí</t>
        </is>
      </c>
      <c r="H6" s="4" t="n">
        <v>46062</v>
      </c>
      <c r="I6" s="2" t="inlineStr">
        <is>
          <t>Diego</t>
        </is>
      </c>
    </row>
    <row r="7">
      <c r="A7" s="2" t="inlineStr">
        <is>
          <t>69579f0cb477edce1f6890cd</t>
        </is>
      </c>
      <c r="B7" s="3" t="inlineStr">
        <is>
          <t>460092</t>
        </is>
      </c>
      <c r="C7" s="2" t="inlineStr">
        <is>
          <t>Centene Corporation</t>
        </is>
      </c>
      <c r="D7" s="2" t="inlineStr">
        <is>
          <t>Missing PO</t>
        </is>
      </c>
      <c r="E7" s="4" t="n">
        <v>46024</v>
      </c>
      <c r="F7" s="5">
        <f>TODAY()-E7</f>
        <v/>
      </c>
      <c r="G7" s="6" t="inlineStr">
        <is>
          <t>Sí</t>
        </is>
      </c>
      <c r="H7" s="4" t="n">
        <v>46099</v>
      </c>
      <c r="I7" s="2" t="inlineStr">
        <is>
          <t>Diego</t>
        </is>
      </c>
    </row>
    <row r="8">
      <c r="A8" s="2" t="inlineStr">
        <is>
          <t>695cbde492b735dc947ff165</t>
        </is>
      </c>
      <c r="B8" s="3" t="inlineStr">
        <is>
          <t>460432</t>
        </is>
      </c>
      <c r="C8" s="2" t="inlineStr">
        <is>
          <t>Ford Motor Company</t>
        </is>
      </c>
      <c r="D8" s="2" t="inlineStr">
        <is>
          <t>PO funds insufficient</t>
        </is>
      </c>
      <c r="E8" s="4" t="n">
        <v>46028</v>
      </c>
      <c r="F8" s="5">
        <f>TODAY()-E8</f>
        <v/>
      </c>
      <c r="G8" s="3" t="inlineStr">
        <is>
          <t>No</t>
        </is>
      </c>
      <c r="H8" s="3" t="n"/>
      <c r="I8" s="2" t="inlineStr">
        <is>
          <t>Diego</t>
        </is>
      </c>
    </row>
    <row r="9">
      <c r="A9" s="2" t="inlineStr">
        <is>
          <t>697f07e15516ec8162db571b</t>
        </is>
      </c>
      <c r="B9" s="3" t="inlineStr">
        <is>
          <t>462221</t>
        </is>
      </c>
      <c r="C9" s="2" t="inlineStr">
        <is>
          <t>NANYANG TECHNOLOGICAL UNIVERSITY | University Wide</t>
        </is>
      </c>
      <c r="D9" s="2" t="inlineStr">
        <is>
          <t>Submission functionality is unavailable</t>
        </is>
      </c>
      <c r="E9" s="4" t="n">
        <v>46054</v>
      </c>
      <c r="F9" s="5">
        <f>TODAY()-E9</f>
        <v/>
      </c>
      <c r="G9" s="3" t="inlineStr">
        <is>
          <t>No</t>
        </is>
      </c>
      <c r="H9" s="3" t="n"/>
      <c r="I9" s="2" t="inlineStr">
        <is>
          <t>Raul</t>
        </is>
      </c>
    </row>
    <row r="10">
      <c r="A10" s="2" t="inlineStr">
        <is>
          <t>69807c2a1e048389f9279e5a</t>
        </is>
      </c>
      <c r="B10" s="3" t="inlineStr">
        <is>
          <t>457008</t>
        </is>
      </c>
      <c r="C10" s="2" t="inlineStr">
        <is>
          <t>StarHub Limited</t>
        </is>
      </c>
      <c r="D10" s="2" t="inlineStr">
        <is>
          <t>Submission functionality is unavailable</t>
        </is>
      </c>
      <c r="E10" s="4" t="n">
        <v>46055</v>
      </c>
      <c r="F10" s="5">
        <f>TODAY()-E10</f>
        <v/>
      </c>
      <c r="G10" s="3" t="inlineStr">
        <is>
          <t>No</t>
        </is>
      </c>
      <c r="H10" s="3" t="n"/>
      <c r="I10" s="2" t="inlineStr">
        <is>
          <t>Raul</t>
        </is>
      </c>
    </row>
    <row r="11">
      <c r="A11" s="2" t="inlineStr">
        <is>
          <t>69945c17cf6857d2c4af70b7</t>
        </is>
      </c>
      <c r="B11" s="3" t="inlineStr">
        <is>
          <t>463477</t>
        </is>
      </c>
      <c r="C11" s="2" t="inlineStr">
        <is>
          <t>FMR LLC | Fidelity CTG</t>
        </is>
      </c>
      <c r="D11" s="2" t="inlineStr">
        <is>
          <t>Customer doesn't exist</t>
        </is>
      </c>
      <c r="E11" s="4" t="n">
        <v>46070</v>
      </c>
      <c r="F11" s="5">
        <f>TODAY()-E11</f>
        <v/>
      </c>
      <c r="G11" s="3" t="inlineStr">
        <is>
          <t>No</t>
        </is>
      </c>
      <c r="H11" s="3" t="n"/>
      <c r="I11" s="2" t="inlineStr">
        <is>
          <t>Diego</t>
        </is>
      </c>
    </row>
    <row r="12">
      <c r="A12" s="2" t="inlineStr">
        <is>
          <t>699d9cf5dfd3a30034bd0d02</t>
        </is>
      </c>
      <c r="B12" s="3" t="inlineStr">
        <is>
          <t>463929</t>
        </is>
      </c>
      <c r="C12" s="2" t="inlineStr">
        <is>
          <t>Centene Corporation</t>
        </is>
      </c>
      <c r="D12" s="2" t="inlineStr">
        <is>
          <t>Missing PO</t>
        </is>
      </c>
      <c r="E12" s="4" t="n">
        <v>46077</v>
      </c>
      <c r="F12" s="5">
        <f>TODAY()-E12</f>
        <v/>
      </c>
      <c r="G12" s="3" t="inlineStr">
        <is>
          <t>No</t>
        </is>
      </c>
      <c r="H12" s="3" t="n"/>
      <c r="I12" s="2" t="inlineStr">
        <is>
          <t>Diego</t>
        </is>
      </c>
    </row>
    <row r="13">
      <c r="A13" s="2" t="inlineStr">
        <is>
          <t>69a082a095b00a80e2450c20</t>
        </is>
      </c>
      <c r="B13" s="3" t="inlineStr">
        <is>
          <t>QILNEW1511A-2</t>
        </is>
      </c>
      <c r="C13" s="2" t="inlineStr">
        <is>
          <t>Telenor</t>
        </is>
      </c>
      <c r="D13" s="2" t="n">
        <v/>
      </c>
      <c r="E13" s="4" t="n">
        <v>46079</v>
      </c>
      <c r="F13" s="5">
        <f>TODAY()-E13</f>
        <v/>
      </c>
      <c r="G13" s="3" t="inlineStr">
        <is>
          <t>No</t>
        </is>
      </c>
      <c r="H13" s="3" t="n"/>
      <c r="I13" s="2" t="inlineStr">
        <is>
          <t>Raul</t>
        </is>
      </c>
    </row>
    <row r="14">
      <c r="A14" s="2" t="inlineStr">
        <is>
          <t>69a555ce46988c738869d8f4</t>
        </is>
      </c>
      <c r="B14" s="3" t="inlineStr">
        <is>
          <t>464327</t>
        </is>
      </c>
      <c r="C14" s="2" t="inlineStr">
        <is>
          <t>Starbucks</t>
        </is>
      </c>
      <c r="D14" s="2" t="inlineStr">
        <is>
          <t>Missing PO</t>
        </is>
      </c>
      <c r="E14" s="4" t="n">
        <v>46083</v>
      </c>
      <c r="F14" s="5">
        <f>TODAY()-E14</f>
        <v/>
      </c>
      <c r="G14" s="3" t="inlineStr">
        <is>
          <t>No</t>
        </is>
      </c>
      <c r="H14" s="3" t="n"/>
      <c r="I14" s="2" t="inlineStr">
        <is>
          <t>April</t>
        </is>
      </c>
    </row>
    <row r="15">
      <c r="A15" s="2" t="inlineStr">
        <is>
          <t>69b123e42798ceaa3c503f1f</t>
        </is>
      </c>
      <c r="B15" s="3" t="inlineStr">
        <is>
          <t>465408</t>
        </is>
      </c>
      <c r="C15" s="2" t="inlineStr">
        <is>
          <t>Wayfair</t>
        </is>
      </c>
      <c r="D15" s="2" t="inlineStr">
        <is>
          <t>Missing PO</t>
        </is>
      </c>
      <c r="E15" s="4" t="n">
        <v>46092</v>
      </c>
      <c r="F15" s="5">
        <f>TODAY()-E15</f>
        <v/>
      </c>
      <c r="G15" s="3" t="inlineStr">
        <is>
          <t>No</t>
        </is>
      </c>
      <c r="H15" s="3" t="n"/>
      <c r="I15" s="2" t="inlineStr"/>
    </row>
    <row r="16">
      <c r="A16" s="2" t="inlineStr">
        <is>
          <t>69b123ca2798ceaa3c503f1d</t>
        </is>
      </c>
      <c r="B16" s="3" t="inlineStr">
        <is>
          <t>465410</t>
        </is>
      </c>
      <c r="C16" s="2" t="inlineStr">
        <is>
          <t>Wayfair</t>
        </is>
      </c>
      <c r="D16" s="2" t="inlineStr">
        <is>
          <t>Missing PO</t>
        </is>
      </c>
      <c r="E16" s="4" t="n">
        <v>46092</v>
      </c>
      <c r="F16" s="5">
        <f>TODAY()-E16</f>
        <v/>
      </c>
      <c r="G16" s="3" t="inlineStr">
        <is>
          <t>No</t>
        </is>
      </c>
      <c r="H16" s="3" t="n"/>
      <c r="I16" s="2" t="inlineStr"/>
    </row>
    <row r="17">
      <c r="A17" s="2" t="inlineStr">
        <is>
          <t>69b27236f0e491cb9c63758b</t>
        </is>
      </c>
      <c r="B17" s="3" t="inlineStr">
        <is>
          <t>464063</t>
        </is>
      </c>
      <c r="C17" s="2" t="inlineStr">
        <is>
          <t>Edwards Lifesciences Corp | Smart Start</t>
        </is>
      </c>
      <c r="D17" s="2" t="inlineStr">
        <is>
          <t>Missing PO</t>
        </is>
      </c>
      <c r="E17" s="4" t="n">
        <v>46093</v>
      </c>
      <c r="F17" s="5">
        <f>TODAY()-E17</f>
        <v/>
      </c>
      <c r="G17" s="3" t="inlineStr">
        <is>
          <t>No</t>
        </is>
      </c>
      <c r="H17" s="3" t="n"/>
      <c r="I17" s="2" t="inlineStr"/>
    </row>
    <row r="18">
      <c r="A18" s="2" t="inlineStr">
        <is>
          <t>69b66bcca767ad0ba8ac01b4</t>
        </is>
      </c>
      <c r="B18" s="3" t="inlineStr">
        <is>
          <t>465710</t>
        </is>
      </c>
      <c r="C18" s="2" t="inlineStr">
        <is>
          <t>BT GROUP PLC | BT</t>
        </is>
      </c>
      <c r="D18" s="2" t="inlineStr">
        <is>
          <t>Missing PO</t>
        </is>
      </c>
      <c r="E18" s="4" t="n">
        <v>46096</v>
      </c>
      <c r="F18" s="5">
        <f>TODAY()-E18</f>
        <v/>
      </c>
      <c r="G18" s="3" t="inlineStr">
        <is>
          <t>No</t>
        </is>
      </c>
      <c r="H18" s="3" t="n"/>
      <c r="I18" s="2" t="inlineStr">
        <is>
          <t>Alejandro</t>
        </is>
      </c>
    </row>
    <row r="19">
      <c r="A19" s="2" t="inlineStr">
        <is>
          <t>69b681d86e24a5490391ded5</t>
        </is>
      </c>
      <c r="B19" s="3" t="inlineStr">
        <is>
          <t>453037</t>
        </is>
      </c>
      <c r="C19" s="2" t="inlineStr">
        <is>
          <t>Woolworths Group Limited</t>
        </is>
      </c>
      <c r="D19" s="2" t="inlineStr">
        <is>
          <t>Non-submission issue</t>
        </is>
      </c>
      <c r="E19" s="4" t="n">
        <v>46096</v>
      </c>
      <c r="F19" s="5">
        <f>TODAY()-E19</f>
        <v/>
      </c>
      <c r="G19" s="3" t="inlineStr">
        <is>
          <t>No</t>
        </is>
      </c>
      <c r="H19" s="3" t="n"/>
      <c r="I19" s="2" t="inlineStr"/>
    </row>
    <row r="20">
      <c r="A20" s="2" t="inlineStr">
        <is>
          <t>69ba7d836672a0125db55ea2</t>
        </is>
      </c>
      <c r="B20" s="3" t="inlineStr">
        <is>
          <t>465877</t>
        </is>
      </c>
      <c r="C20" s="2" t="inlineStr">
        <is>
          <t>NANYANG TECHNOLOGICAL UNIVERSITY | University Wide</t>
        </is>
      </c>
      <c r="D20" s="2" t="inlineStr">
        <is>
          <t>Submission functionality is unavailable</t>
        </is>
      </c>
      <c r="E20" s="4" t="n">
        <v>46099</v>
      </c>
      <c r="F20" s="5">
        <f>TODAY()-E20</f>
        <v/>
      </c>
      <c r="G20" s="3" t="inlineStr">
        <is>
          <t>No</t>
        </is>
      </c>
      <c r="H20" s="3" t="n"/>
      <c r="I20" s="2" t="inlineStr"/>
    </row>
    <row r="21">
      <c r="A21" s="2" t="inlineStr">
        <is>
          <t>69bc3a311cc3458f7368cf60</t>
        </is>
      </c>
      <c r="B21" s="3" t="inlineStr">
        <is>
          <t>461605</t>
        </is>
      </c>
      <c r="C21" s="2" t="inlineStr">
        <is>
          <t>Conduent Business Services LLC</t>
        </is>
      </c>
      <c r="D21" s="2" t="inlineStr">
        <is>
          <t>Missing PO</t>
        </is>
      </c>
      <c r="E21" s="4" t="n">
        <v>46100</v>
      </c>
      <c r="F21" s="5">
        <f>TODAY()-E21</f>
        <v/>
      </c>
      <c r="G21" s="3" t="inlineStr">
        <is>
          <t>No</t>
        </is>
      </c>
      <c r="H21" s="3" t="n"/>
      <c r="I21" s="2" t="inlineStr">
        <is>
          <t>Diego</t>
        </is>
      </c>
    </row>
    <row r="22">
      <c r="A22" s="2" t="inlineStr">
        <is>
          <t>69bd083699f6716d4cc94fa0</t>
        </is>
      </c>
      <c r="B22" s="3" t="inlineStr">
        <is>
          <t>459044</t>
        </is>
      </c>
      <c r="C22" s="2" t="inlineStr">
        <is>
          <t>Intel Corporation</t>
        </is>
      </c>
      <c r="D22" s="2" t="inlineStr">
        <is>
          <t>Missing PO</t>
        </is>
      </c>
      <c r="E22" s="4" t="n">
        <v>46101</v>
      </c>
      <c r="F22" s="5">
        <f>TODAY()-E22</f>
        <v/>
      </c>
      <c r="G22" s="3" t="inlineStr">
        <is>
          <t>No</t>
        </is>
      </c>
      <c r="H22" s="3" t="n"/>
      <c r="I22" s="2" t="inlineStr"/>
    </row>
    <row r="23">
      <c r="A23" s="2" t="inlineStr">
        <is>
          <t>69ca102e1bffee749cf73634</t>
        </is>
      </c>
      <c r="B23" s="3" t="inlineStr">
        <is>
          <t>466804</t>
        </is>
      </c>
      <c r="C23" s="2" t="inlineStr">
        <is>
          <t>Nedbank Limited</t>
        </is>
      </c>
      <c r="D23" s="2" t="inlineStr">
        <is>
          <t>Missing PO</t>
        </is>
      </c>
      <c r="E23" s="4" t="n">
        <v>46111</v>
      </c>
      <c r="F23" s="5">
        <f>TODAY()-E23</f>
        <v/>
      </c>
      <c r="G23" s="3" t="inlineStr">
        <is>
          <t>No</t>
        </is>
      </c>
      <c r="H23" s="3" t="n"/>
      <c r="I23" s="2" t="inlineStr">
        <is>
          <t>Alejandro</t>
        </is>
      </c>
    </row>
    <row r="24">
      <c r="A24" s="2" t="inlineStr">
        <is>
          <t>69ca10021bffee749cf73633</t>
        </is>
      </c>
      <c r="B24" s="3" t="inlineStr">
        <is>
          <t>466803</t>
        </is>
      </c>
      <c r="C24" s="2" t="inlineStr">
        <is>
          <t>Nedbank Limited</t>
        </is>
      </c>
      <c r="D24" s="2" t="inlineStr">
        <is>
          <t>Missing PO</t>
        </is>
      </c>
      <c r="E24" s="4" t="n">
        <v>46111</v>
      </c>
      <c r="F24" s="5">
        <f>TODAY()-E24</f>
        <v/>
      </c>
      <c r="G24" s="3" t="inlineStr">
        <is>
          <t>No</t>
        </is>
      </c>
      <c r="H24" s="3" t="n"/>
      <c r="I24" s="2" t="inlineStr">
        <is>
          <t>Alejandro</t>
        </is>
      </c>
    </row>
    <row r="25">
      <c r="A25" s="2" t="inlineStr">
        <is>
          <t>69cb94366339f75fe8b12f50</t>
        </is>
      </c>
      <c r="B25" s="3" t="inlineStr">
        <is>
          <t>466948</t>
        </is>
      </c>
      <c r="C25" s="2" t="inlineStr">
        <is>
          <t>County of Santa Clara | SCC HHS</t>
        </is>
      </c>
      <c r="D25" s="2" t="inlineStr">
        <is>
          <t>Missing PO</t>
        </is>
      </c>
      <c r="E25" s="4" t="n">
        <v>46112</v>
      </c>
      <c r="F25" s="5">
        <f>TODAY()-E25</f>
        <v/>
      </c>
      <c r="G25" s="6" t="inlineStr">
        <is>
          <t>Sí</t>
        </is>
      </c>
      <c r="H25" s="4" t="n">
        <v>46115</v>
      </c>
      <c r="I25" s="2" t="inlineStr">
        <is>
          <t>Diego</t>
        </is>
      </c>
    </row>
    <row r="26">
      <c r="A26" s="2" t="inlineStr">
        <is>
          <t>69cd0e4fb66a3b62ab258c7c</t>
        </is>
      </c>
      <c r="B26" s="3" t="inlineStr">
        <is>
          <t>467066</t>
        </is>
      </c>
      <c r="C26" s="2" t="inlineStr">
        <is>
          <t>RESORTS WORLD AT SENTOSA PTE. LTD. | RWSENTOSA (single S)</t>
        </is>
      </c>
      <c r="D26" s="2" t="inlineStr">
        <is>
          <t>Missing PO</t>
        </is>
      </c>
      <c r="E26" s="4" t="n">
        <v>46113</v>
      </c>
      <c r="F26" s="5">
        <f>TODAY()-E26</f>
        <v/>
      </c>
      <c r="G26" s="3" t="inlineStr">
        <is>
          <t>No</t>
        </is>
      </c>
      <c r="H26" s="3" t="n"/>
      <c r="I26" s="2" t="inlineStr">
        <is>
          <t>Raul</t>
        </is>
      </c>
    </row>
    <row r="27">
      <c r="A27" s="2" t="inlineStr">
        <is>
          <t>69ce36910b5f2702494d22d1</t>
        </is>
      </c>
      <c r="B27" s="3" t="inlineStr">
        <is>
          <t>467289</t>
        </is>
      </c>
      <c r="C27" s="2" t="inlineStr">
        <is>
          <t>Nanyang Technological University</t>
        </is>
      </c>
      <c r="D27" s="2" t="inlineStr">
        <is>
          <t>Submission functionality is unavailable</t>
        </is>
      </c>
      <c r="E27" s="4" t="n">
        <v>46114</v>
      </c>
      <c r="F27" s="5">
        <f>TODAY()-E27</f>
        <v/>
      </c>
      <c r="G27" s="3" t="inlineStr">
        <is>
          <t>No</t>
        </is>
      </c>
      <c r="H27" s="3" t="n"/>
      <c r="I27" s="2" t="inlineStr">
        <is>
          <t>Raul</t>
        </is>
      </c>
    </row>
    <row r="28">
      <c r="A28" s="2" t="inlineStr">
        <is>
          <t>69dceb90d27eb3e2765616f1</t>
        </is>
      </c>
      <c r="B28" s="3" t="inlineStr">
        <is>
          <t>468137</t>
        </is>
      </c>
      <c r="C28" s="2" t="inlineStr">
        <is>
          <t>NANYANG TECHNOLOGICAL UNIVERSITY Wee Kim Wee School</t>
        </is>
      </c>
      <c r="D28" s="2" t="inlineStr">
        <is>
          <t>Missing PO</t>
        </is>
      </c>
      <c r="E28" s="4" t="n">
        <v>46125</v>
      </c>
      <c r="F28" s="5">
        <f>TODAY()-E28</f>
        <v/>
      </c>
      <c r="G28" s="6" t="inlineStr">
        <is>
          <t>Sí</t>
        </is>
      </c>
      <c r="H28" s="4" t="n">
        <v>46125</v>
      </c>
      <c r="I28" s="2" t="inlineStr">
        <is>
          <t>Diego</t>
        </is>
      </c>
    </row>
    <row r="29">
      <c r="A29" s="2" t="inlineStr">
        <is>
          <t>69ec8e7da522308a5f4de080</t>
        </is>
      </c>
      <c r="B29" s="3" t="inlineStr">
        <is>
          <t>468792</t>
        </is>
      </c>
      <c r="C29" s="2" t="inlineStr">
        <is>
          <t>LegoLand USA</t>
        </is>
      </c>
      <c r="D29" s="2" t="inlineStr">
        <is>
          <t>Missing PO</t>
        </is>
      </c>
      <c r="E29" s="4" t="n">
        <v>46137</v>
      </c>
      <c r="F29" s="5">
        <f>TODAY()-E29</f>
        <v/>
      </c>
      <c r="G29" s="3" t="inlineStr">
        <is>
          <t>No</t>
        </is>
      </c>
      <c r="H29" s="3" t="n"/>
      <c r="I29" s="2" t="inlineStr"/>
    </row>
    <row r="30">
      <c r="A30" s="2" t="inlineStr">
        <is>
          <t>69f05ee190c075918b025a87</t>
        </is>
      </c>
      <c r="B30" s="3" t="inlineStr">
        <is>
          <t>469020</t>
        </is>
      </c>
      <c r="C30" s="2" t="inlineStr">
        <is>
          <t>McKesson Canada Corporation</t>
        </is>
      </c>
      <c r="D30" s="2" t="inlineStr">
        <is>
          <t>PO doesn't exist</t>
        </is>
      </c>
      <c r="E30" s="4" t="n">
        <v>46140</v>
      </c>
      <c r="F30" s="5">
        <f>TODAY()-E30</f>
        <v/>
      </c>
      <c r="G30" s="3" t="inlineStr">
        <is>
          <t>No</t>
        </is>
      </c>
      <c r="H30" s="3" t="n"/>
      <c r="I30" s="2" t="inlineStr"/>
    </row>
    <row r="31">
      <c r="A31" s="2" t="inlineStr">
        <is>
          <t>69f21f37d22028c95742296c</t>
        </is>
      </c>
      <c r="B31" s="3" t="inlineStr">
        <is>
          <t>469115</t>
        </is>
      </c>
      <c r="C31" s="2" t="inlineStr">
        <is>
          <t>Verizon Telematics</t>
        </is>
      </c>
      <c r="D31" s="2" t="inlineStr">
        <is>
          <t>Customer doesn't exist</t>
        </is>
      </c>
      <c r="E31" s="4" t="n">
        <v>46141</v>
      </c>
      <c r="F31" s="5">
        <f>TODAY()-E31</f>
        <v/>
      </c>
      <c r="G31" s="3" t="inlineStr">
        <is>
          <t>No</t>
        </is>
      </c>
      <c r="H31" s="3" t="n"/>
      <c r="I31" s="2" t="inlineStr"/>
    </row>
    <row r="32">
      <c r="A32" s="2" t="inlineStr">
        <is>
          <t>69f2f76f6cc2032831f30946</t>
        </is>
      </c>
      <c r="B32" s="3" t="inlineStr">
        <is>
          <t>463254</t>
        </is>
      </c>
      <c r="C32" s="2" t="inlineStr">
        <is>
          <t>Kantar</t>
        </is>
      </c>
      <c r="D32" s="2" t="inlineStr">
        <is>
          <t>Non-submission issue</t>
        </is>
      </c>
      <c r="E32" s="4" t="n">
        <v>46142</v>
      </c>
      <c r="F32" s="5">
        <f>TODAY()-E32</f>
        <v/>
      </c>
      <c r="G32" s="3" t="inlineStr">
        <is>
          <t>No</t>
        </is>
      </c>
      <c r="H32" s="3" t="n"/>
      <c r="I32" s="2" t="inlineStr"/>
    </row>
    <row r="33">
      <c r="A33" s="2" t="inlineStr">
        <is>
          <t>69f5a3e25fc0c2b7ffbd91b2</t>
        </is>
      </c>
      <c r="B33" s="3" t="inlineStr">
        <is>
          <t>469404</t>
        </is>
      </c>
      <c r="C33" s="2" t="inlineStr">
        <is>
          <t>Microsoft Corporation | Corporate Research Team</t>
        </is>
      </c>
      <c r="D33" s="2" t="inlineStr">
        <is>
          <t>Missing PO</t>
        </is>
      </c>
      <c r="E33" s="4" t="n">
        <v>46144</v>
      </c>
      <c r="F33" s="5">
        <f>TODAY()-E33</f>
        <v/>
      </c>
      <c r="G33" s="3" t="inlineStr">
        <is>
          <t>No</t>
        </is>
      </c>
      <c r="H33" s="3" t="n"/>
      <c r="I33" s="2" t="inlineStr"/>
    </row>
    <row r="34">
      <c r="A34" s="2" t="inlineStr">
        <is>
          <t>69f5a3585fc0c2b7ffbd91ae</t>
        </is>
      </c>
      <c r="B34" s="3" t="inlineStr">
        <is>
          <t>469373</t>
        </is>
      </c>
      <c r="C34" s="2" t="inlineStr">
        <is>
          <t>Chevron Technical Center</t>
        </is>
      </c>
      <c r="D34" s="2" t="inlineStr">
        <is>
          <t>Portal Connection</t>
        </is>
      </c>
      <c r="E34" s="4" t="n">
        <v>46144</v>
      </c>
      <c r="F34" s="5">
        <f>TODAY()-E34</f>
        <v/>
      </c>
      <c r="G34" s="3" t="inlineStr">
        <is>
          <t>No</t>
        </is>
      </c>
      <c r="H34" s="3" t="n"/>
      <c r="I34" s="2" t="inlineStr"/>
    </row>
    <row r="35">
      <c r="A35" s="2" t="inlineStr">
        <is>
          <t>69f5a3795fc0c2b7ffbd91af</t>
        </is>
      </c>
      <c r="B35" s="3" t="inlineStr">
        <is>
          <t>469374</t>
        </is>
      </c>
      <c r="C35" s="2" t="inlineStr">
        <is>
          <t>CO-OPERATIVE GROUP LIMITED</t>
        </is>
      </c>
      <c r="D35" s="2" t="inlineStr">
        <is>
          <t>Missing PO</t>
        </is>
      </c>
      <c r="E35" s="4" t="n">
        <v>46144</v>
      </c>
      <c r="F35" s="5">
        <f>TODAY()-E35</f>
        <v/>
      </c>
      <c r="G35" s="3" t="inlineStr">
        <is>
          <t>No</t>
        </is>
      </c>
      <c r="H35" s="3" t="n"/>
      <c r="I35" s="2" t="inlineStr"/>
    </row>
    <row r="36">
      <c r="A36" s="2" t="inlineStr">
        <is>
          <t>69f99bbdb9a9f8f58e450d44</t>
        </is>
      </c>
      <c r="B36" s="3" t="inlineStr">
        <is>
          <t>469590</t>
        </is>
      </c>
      <c r="C36" s="2" t="inlineStr">
        <is>
          <t>Foundation Medicine  Inc. | Foundation Medicine</t>
        </is>
      </c>
      <c r="D36" s="2" t="inlineStr">
        <is>
          <t>Customer doesn't exist</t>
        </is>
      </c>
      <c r="E36" s="4" t="n">
        <v>46147</v>
      </c>
      <c r="F36" s="5">
        <f>TODAY()-E36</f>
        <v/>
      </c>
      <c r="G36" s="3" t="inlineStr">
        <is>
          <t>No</t>
        </is>
      </c>
      <c r="H36" s="3" t="n"/>
      <c r="I36" s="2" t="inlineStr"/>
    </row>
    <row r="37">
      <c r="A37" s="2" t="inlineStr">
        <is>
          <t>69fafd02a6928cd76a8a381e</t>
        </is>
      </c>
      <c r="B37" s="3" t="inlineStr">
        <is>
          <t>450152A</t>
        </is>
      </c>
      <c r="C37" s="2" t="inlineStr">
        <is>
          <t>Cigna Corporate Services LLC</t>
        </is>
      </c>
      <c r="D37" s="2" t="inlineStr">
        <is>
          <t>PO quantity limitation issue</t>
        </is>
      </c>
      <c r="E37" s="4" t="n">
        <v>46148</v>
      </c>
      <c r="F37" s="5">
        <f>TODAY()-E37</f>
        <v/>
      </c>
      <c r="G37" s="3" t="inlineStr">
        <is>
          <t>No</t>
        </is>
      </c>
      <c r="H37" s="3" t="n"/>
      <c r="I37" s="2" t="inlineStr"/>
    </row>
    <row r="38">
      <c r="A38" s="2" t="inlineStr">
        <is>
          <t>69fb00d14d190e1f378a0032</t>
        </is>
      </c>
      <c r="B38" s="3" t="inlineStr">
        <is>
          <t>457719</t>
        </is>
      </c>
      <c r="C38" s="2" t="inlineStr">
        <is>
          <t>Farmers Group  Inc.</t>
        </is>
      </c>
      <c r="D38" s="2" t="inlineStr">
        <is>
          <t>PO is closed for invoicing</t>
        </is>
      </c>
      <c r="E38" s="4" t="n">
        <v>46148</v>
      </c>
      <c r="F38" s="5">
        <f>TODAY()-E38</f>
        <v/>
      </c>
      <c r="G38" s="3" t="inlineStr">
        <is>
          <t>No</t>
        </is>
      </c>
      <c r="H38" s="3" t="n"/>
      <c r="I38" s="2" t="inlineStr"/>
    </row>
    <row r="39">
      <c r="A39" s="2" t="inlineStr">
        <is>
          <t>69fb826f26b034067e410689</t>
        </is>
      </c>
      <c r="B39" s="3" t="inlineStr">
        <is>
          <t>467467</t>
        </is>
      </c>
      <c r="C39" s="2" t="inlineStr">
        <is>
          <t>Northwell Health  Inc. | Pharmacy</t>
        </is>
      </c>
      <c r="D39" s="2" t="inlineStr">
        <is>
          <t>Customer doesn't exist</t>
        </is>
      </c>
      <c r="E39" s="4" t="n">
        <v>46148</v>
      </c>
      <c r="F39" s="5">
        <f>TODAY()-E39</f>
        <v/>
      </c>
      <c r="G39" s="3" t="inlineStr">
        <is>
          <t>No</t>
        </is>
      </c>
      <c r="H39" s="3" t="n"/>
      <c r="I39" s="2" t="inlineStr"/>
    </row>
    <row r="40">
      <c r="A40" s="2" t="inlineStr">
        <is>
          <t>69fcbfb8e4da0b7d43ff73cf</t>
        </is>
      </c>
      <c r="B40" s="3" t="inlineStr">
        <is>
          <t>469725</t>
        </is>
      </c>
      <c r="C40" s="2" t="inlineStr">
        <is>
          <t>SYMPLICIT PTY LTD | Symplicity</t>
        </is>
      </c>
      <c r="D40" s="2" t="inlineStr">
        <is>
          <t>Customer doesn't exist</t>
        </is>
      </c>
      <c r="E40" s="4" t="n">
        <v>46149</v>
      </c>
      <c r="F40" s="5">
        <f>TODAY()-E40</f>
        <v/>
      </c>
      <c r="G40" s="3" t="inlineStr">
        <is>
          <t>No</t>
        </is>
      </c>
      <c r="H40" s="3" t="n"/>
      <c r="I40" s="2" t="inlineStr"/>
    </row>
    <row r="41">
      <c r="A41" s="2" t="inlineStr">
        <is>
          <t>6a0d806b1120f94cbb17ce1f</t>
        </is>
      </c>
      <c r="B41" s="3" t="inlineStr">
        <is>
          <t>470147</t>
        </is>
      </c>
      <c r="C41" s="2" t="inlineStr">
        <is>
          <t>Coppel  S.A. de C.V. | Mexico</t>
        </is>
      </c>
      <c r="D41" s="2" t="inlineStr">
        <is>
          <t>Customer doesn't exist</t>
        </is>
      </c>
      <c r="E41" s="4" t="n">
        <v>46162</v>
      </c>
      <c r="F41" s="5">
        <f>TODAY()-E41</f>
        <v/>
      </c>
      <c r="G41" s="3" t="inlineStr">
        <is>
          <t>No</t>
        </is>
      </c>
      <c r="H41" s="3" t="n"/>
      <c r="I41" s="2" t="inlineStr"/>
    </row>
    <row r="42">
      <c r="A42" s="2" t="inlineStr">
        <is>
          <t>6a17e61fcca8aaa63c1c1f17</t>
        </is>
      </c>
      <c r="B42" s="3" t="inlineStr">
        <is>
          <t>470320</t>
        </is>
      </c>
      <c r="C42" s="2" t="inlineStr">
        <is>
          <t>Vitro Vidriera Monterrey S.A. de C.V. | Vitro/Pittsburg Glass</t>
        </is>
      </c>
      <c r="D42" s="2" t="inlineStr">
        <is>
          <t>Submission functionality is unavailable</t>
        </is>
      </c>
      <c r="E42" s="4" t="n">
        <v>46170</v>
      </c>
      <c r="F42" s="5">
        <f>TODAY()-E42</f>
        <v/>
      </c>
      <c r="G42" s="3" t="inlineStr">
        <is>
          <t>No</t>
        </is>
      </c>
      <c r="H42" s="3" t="n"/>
      <c r="I42" s="2" t="inlineStr"/>
    </row>
    <row r="43">
      <c r="A43" s="2" t="inlineStr">
        <is>
          <t>6a1d48d3c4cd8817ce5bd7a3</t>
        </is>
      </c>
      <c r="B43" s="3" t="inlineStr">
        <is>
          <t>470432</t>
        </is>
      </c>
      <c r="C43" s="2" t="inlineStr">
        <is>
          <t>SARAWAK ENERGY BERHAD | Human Resources</t>
        </is>
      </c>
      <c r="D43" s="2" t="inlineStr">
        <is>
          <t>Customer doesn't exist</t>
        </is>
      </c>
      <c r="E43" s="4" t="n">
        <v>46174</v>
      </c>
      <c r="F43" s="5">
        <f>TODAY()-E43</f>
        <v/>
      </c>
      <c r="G43" s="3" t="inlineStr">
        <is>
          <t>No</t>
        </is>
      </c>
      <c r="H43" s="3" t="n"/>
      <c r="I43" s="2" t="inlineStr"/>
    </row>
    <row r="44">
      <c r="A44" s="2" t="inlineStr">
        <is>
          <t>6a1f0afa44fdce77fd28071e</t>
        </is>
      </c>
      <c r="B44" s="3" t="inlineStr">
        <is>
          <t>470567</t>
        </is>
      </c>
      <c r="C44" s="2" t="inlineStr">
        <is>
          <t>Microsoft Corporation | CE&amp;S to MCAPS CXMI</t>
        </is>
      </c>
      <c r="D44" s="2" t="inlineStr">
        <is>
          <t>Customer doesn't exist</t>
        </is>
      </c>
      <c r="E44" s="4" t="n">
        <v>46175</v>
      </c>
      <c r="F44" s="5">
        <f>TODAY()-E44</f>
        <v/>
      </c>
      <c r="G44" s="3" t="inlineStr">
        <is>
          <t>No</t>
        </is>
      </c>
      <c r="H44" s="3" t="n"/>
      <c r="I44" s="2" t="inlineStr"/>
    </row>
    <row r="45">
      <c r="A45" s="2" t="inlineStr">
        <is>
          <t>6a1ee59d691a77d8ea9f174e</t>
        </is>
      </c>
      <c r="B45" s="3" t="inlineStr">
        <is>
          <t>470499</t>
        </is>
      </c>
      <c r="C45" s="2" t="inlineStr">
        <is>
          <t>Edwards Lifesciences LLC:Product Marketing</t>
        </is>
      </c>
      <c r="D45" s="2" t="inlineStr">
        <is>
          <t>Missing PO</t>
        </is>
      </c>
      <c r="E45" s="4" t="n">
        <v>46175</v>
      </c>
      <c r="F45" s="5">
        <f>TODAY()-E45</f>
        <v/>
      </c>
      <c r="G45" s="3" t="inlineStr">
        <is>
          <t>No</t>
        </is>
      </c>
      <c r="H45" s="3" t="n"/>
      <c r="I45" s="2" t="inlineStr"/>
    </row>
    <row r="46">
      <c r="A46" s="2" t="inlineStr">
        <is>
          <t>6a2bd8e17f974cf54b003ffa</t>
        </is>
      </c>
      <c r="B46" s="3" t="inlineStr">
        <is>
          <t>470639</t>
        </is>
      </c>
      <c r="C46" s="2" t="inlineStr">
        <is>
          <t>TOYOTA MOTOR CORPORATION</t>
        </is>
      </c>
      <c r="D46" s="2" t="inlineStr">
        <is>
          <t>Missing PO</t>
        </is>
      </c>
      <c r="E46" s="4" t="n">
        <v>46185</v>
      </c>
      <c r="F46" s="5">
        <f>TODAY()-E46</f>
        <v/>
      </c>
      <c r="G46" s="3" t="inlineStr">
        <is>
          <t>No</t>
        </is>
      </c>
      <c r="H46" s="3" t="n"/>
      <c r="I46" s="2" t="inlineStr">
        <is>
          <t>Diego</t>
        </is>
      </c>
    </row>
    <row r="47">
      <c r="A47" s="2" t="inlineStr">
        <is>
          <t>6a3254c4b962fc87d2087797</t>
        </is>
      </c>
      <c r="B47" s="3" t="inlineStr">
        <is>
          <t>470871</t>
        </is>
      </c>
      <c r="C47" s="2" t="inlineStr">
        <is>
          <t>T-Mobile</t>
        </is>
      </c>
      <c r="D47" s="2" t="inlineStr">
        <is>
          <t>Missing PO</t>
        </is>
      </c>
      <c r="E47" s="4" t="n">
        <v>46190</v>
      </c>
      <c r="F47" s="5">
        <f>TODAY()-E47</f>
        <v/>
      </c>
      <c r="G47" s="6" t="inlineStr">
        <is>
          <t>Sí</t>
        </is>
      </c>
      <c r="H47" s="4" t="n">
        <v>46198</v>
      </c>
      <c r="I47" s="2" t="inlineStr">
        <is>
          <t>April</t>
        </is>
      </c>
    </row>
    <row r="48">
      <c r="A48" s="2" t="inlineStr">
        <is>
          <t>6a3a4a4d863e9881fd4b7cd9</t>
        </is>
      </c>
      <c r="B48" s="3" t="inlineStr">
        <is>
          <t>464499AA</t>
        </is>
      </c>
      <c r="C48" s="2" t="inlineStr">
        <is>
          <t>SATS LTD. | SATS</t>
        </is>
      </c>
      <c r="D48" s="2" t="inlineStr">
        <is>
          <t>Duplicate invoice</t>
        </is>
      </c>
      <c r="E48" s="4" t="n">
        <v>46196</v>
      </c>
      <c r="F48" s="5">
        <f>TODAY()-E48</f>
        <v/>
      </c>
      <c r="G48" s="3" t="inlineStr">
        <is>
          <t>No</t>
        </is>
      </c>
      <c r="H48" s="3" t="n"/>
      <c r="I48" s="2" t="inlineStr"/>
    </row>
    <row r="49">
      <c r="A49" s="2" t="inlineStr">
        <is>
          <t>6a47e5aa0e230c3cad8862a9</t>
        </is>
      </c>
      <c r="B49" s="3" t="inlineStr">
        <is>
          <t>467590</t>
        </is>
      </c>
      <c r="C49" s="2" t="inlineStr">
        <is>
          <t>Google LLC</t>
        </is>
      </c>
      <c r="D49" s="2" t="inlineStr">
        <is>
          <t>PO funds insufficient</t>
        </is>
      </c>
      <c r="E49" s="4" t="n">
        <v>46206</v>
      </c>
      <c r="F49" s="5">
        <f>TODAY()-E49</f>
        <v/>
      </c>
      <c r="G49" s="3" t="inlineStr">
        <is>
          <t>No</t>
        </is>
      </c>
      <c r="H49" s="3" t="n"/>
      <c r="I49" s="2" t="inlineStr"/>
    </row>
    <row r="50">
      <c r="A50" s="2" t="inlineStr">
        <is>
          <t>6a4767ccc481a7d9d3a735e4</t>
        </is>
      </c>
      <c r="B50" s="3" t="inlineStr">
        <is>
          <t>471149</t>
        </is>
      </c>
      <c r="C50" s="2" t="inlineStr">
        <is>
          <t>Zoetis Services LLC</t>
        </is>
      </c>
      <c r="D50" s="2" t="inlineStr">
        <is>
          <t>Customer doesn't exist</t>
        </is>
      </c>
      <c r="E50" s="4" t="n">
        <v>46206</v>
      </c>
      <c r="F50" s="5">
        <f>TODAY()-E50</f>
        <v/>
      </c>
      <c r="G50" s="3" t="inlineStr">
        <is>
          <t>No</t>
        </is>
      </c>
      <c r="H50" s="3" t="n"/>
      <c r="I50" s="2" t="inlineStr"/>
    </row>
    <row r="51">
      <c r="A51" s="2" t="inlineStr">
        <is>
          <t>6a48ad2aa677990327c3ae6c</t>
        </is>
      </c>
      <c r="B51" s="3" t="inlineStr">
        <is>
          <t>471234</t>
        </is>
      </c>
      <c r="C51" s="2" t="inlineStr">
        <is>
          <t>Mercado Libre SRL</t>
        </is>
      </c>
      <c r="D51" s="2" t="inlineStr">
        <is>
          <t>Rejected invoice found in portal</t>
        </is>
      </c>
      <c r="E51" s="4" t="n">
        <v>46207</v>
      </c>
      <c r="F51" s="5">
        <f>TODAY()-E51</f>
        <v/>
      </c>
      <c r="G51" s="3" t="inlineStr">
        <is>
          <t>No</t>
        </is>
      </c>
      <c r="H51" s="3" t="n"/>
      <c r="I51" s="2" t="inlineStr"/>
    </row>
    <row r="52">
      <c r="A52" s="2" t="inlineStr">
        <is>
          <t>6a53b131add2ce8c1e2254f7</t>
        </is>
      </c>
      <c r="B52" s="3" t="inlineStr">
        <is>
          <t>471293</t>
        </is>
      </c>
      <c r="C52" s="2" t="inlineStr">
        <is>
          <t>British American Shared Services (GSD) Limited</t>
        </is>
      </c>
      <c r="D52" s="2" t="inlineStr">
        <is>
          <t>Customer doesn't exist</t>
        </is>
      </c>
      <c r="E52" s="4" t="n">
        <v>46215</v>
      </c>
      <c r="F52" s="5">
        <f>TODAY()-E52</f>
        <v/>
      </c>
      <c r="G52" s="3" t="inlineStr">
        <is>
          <t>No</t>
        </is>
      </c>
      <c r="H52" s="3" t="n"/>
      <c r="I52" s="2" t="inlineStr"/>
    </row>
    <row r="53">
      <c r="A53" s="2" t="inlineStr">
        <is>
          <t>6a54b09fec9e333c672b5850</t>
        </is>
      </c>
      <c r="B53" s="3" t="inlineStr">
        <is>
          <t>465264</t>
        </is>
      </c>
      <c r="C53" s="2" t="inlineStr">
        <is>
          <t>Owens Corning</t>
        </is>
      </c>
      <c r="D53" s="2" t="inlineStr">
        <is>
          <t>Non-submission issue</t>
        </is>
      </c>
      <c r="E53" s="4" t="n">
        <v>46216</v>
      </c>
      <c r="F53" s="5">
        <f>TODAY()-E53</f>
        <v/>
      </c>
      <c r="G53" s="3" t="inlineStr">
        <is>
          <t>No</t>
        </is>
      </c>
      <c r="H53" s="3" t="n"/>
      <c r="I53" s="2" t="inlineStr"/>
    </row>
    <row r="54">
      <c r="A54" s="2" t="inlineStr">
        <is>
          <t>6a564f0c709616330885e055</t>
        </is>
      </c>
      <c r="B54" s="3" t="inlineStr">
        <is>
          <t>471302</t>
        </is>
      </c>
      <c r="C54" s="2" t="inlineStr">
        <is>
          <t>Bridgestone</t>
        </is>
      </c>
      <c r="D54" s="2" t="inlineStr">
        <is>
          <t>PO doesn't exist</t>
        </is>
      </c>
      <c r="E54" s="4" t="n">
        <v>46217</v>
      </c>
      <c r="F54" s="5">
        <f>TODAY()-E54</f>
        <v/>
      </c>
      <c r="G54" s="3" t="inlineStr">
        <is>
          <t>No</t>
        </is>
      </c>
      <c r="H54" s="3" t="n"/>
      <c r="I54" s="2" t="inlineStr">
        <is>
          <t>Diego</t>
        </is>
      </c>
    </row>
    <row r="55">
      <c r="A55" s="2" t="inlineStr">
        <is>
          <t>6a57b2075286531753e413af</t>
        </is>
      </c>
      <c r="B55" s="3" t="inlineStr">
        <is>
          <t>INV00021460</t>
        </is>
      </c>
      <c r="C55" s="2" t="inlineStr">
        <is>
          <t>Novo Nordisk</t>
        </is>
      </c>
      <c r="D55" s="2" t="inlineStr">
        <is>
          <t>PO doesn't exist</t>
        </is>
      </c>
      <c r="E55" s="4" t="n">
        <v>46218</v>
      </c>
      <c r="F55" s="5">
        <f>TODAY()-E55</f>
        <v/>
      </c>
      <c r="G55" s="3" t="inlineStr">
        <is>
          <t>No</t>
        </is>
      </c>
      <c r="H55" s="3" t="n"/>
      <c r="I55" s="2" t="inlineStr">
        <is>
          <t>Diego</t>
        </is>
      </c>
    </row>
    <row r="56">
      <c r="A56" s="2" t="inlineStr">
        <is>
          <t>6a581ba7d8dcec498047a766</t>
        </is>
      </c>
      <c r="B56" s="3" t="inlineStr">
        <is>
          <t>INV00020373</t>
        </is>
      </c>
      <c r="C56" s="2" t="inlineStr">
        <is>
          <t>IQVIA</t>
        </is>
      </c>
      <c r="D56" s="2" t="inlineStr">
        <is>
          <t>Rejected invoice found in portal</t>
        </is>
      </c>
      <c r="E56" s="4" t="n">
        <v>46218</v>
      </c>
      <c r="F56" s="5">
        <f>TODAY()-E56</f>
        <v/>
      </c>
      <c r="G56" s="3" t="inlineStr">
        <is>
          <t>No</t>
        </is>
      </c>
      <c r="H56" s="3" t="n"/>
      <c r="I56" s="2" t="inlineStr"/>
    </row>
    <row r="57">
      <c r="A57" s="2" t="inlineStr">
        <is>
          <t>6a58ca7e946f21f2db86087a</t>
        </is>
      </c>
      <c r="B57" s="3" t="inlineStr">
        <is>
          <t>QILNEW2076</t>
        </is>
      </c>
      <c r="C57" s="2" t="inlineStr">
        <is>
          <t>1222373769 Mercedes-Benz Group AG | Mercedes-Benz AG Global</t>
        </is>
      </c>
      <c r="D57" s="2" t="inlineStr">
        <is>
          <t>Rejected invoice found in portal</t>
        </is>
      </c>
      <c r="E57" s="4" t="n">
        <v>46219</v>
      </c>
      <c r="F57" s="5">
        <f>TODAY()-E57</f>
        <v/>
      </c>
      <c r="G57" s="3" t="inlineStr">
        <is>
          <t>No</t>
        </is>
      </c>
      <c r="H57" s="3" t="n"/>
      <c r="I57" s="2" t="inlineStr"/>
    </row>
    <row r="58">
      <c r="A58" s="2" t="inlineStr">
        <is>
          <t>6a5972e5dd25e89d13fc2504</t>
        </is>
      </c>
      <c r="B58" s="3" t="inlineStr">
        <is>
          <t>464680</t>
        </is>
      </c>
      <c r="C58" s="2" t="inlineStr">
        <is>
          <t>Paylocity Corporation</t>
        </is>
      </c>
      <c r="D58" s="2" t="inlineStr">
        <is>
          <t>Rejected invoice found in portal</t>
        </is>
      </c>
      <c r="E58" s="4" t="n">
        <v>46220</v>
      </c>
      <c r="F58" s="5">
        <f>TODAY()-E58</f>
        <v/>
      </c>
      <c r="G58" s="3" t="inlineStr">
        <is>
          <t>No</t>
        </is>
      </c>
      <c r="H58" s="3" t="n"/>
      <c r="I58" s="2" t="inlineStr"/>
    </row>
    <row r="59">
      <c r="A59" s="2" t="inlineStr">
        <is>
          <t>6a5b57da12af5a902bf596b0</t>
        </is>
      </c>
      <c r="B59" s="3" t="inlineStr">
        <is>
          <t>INV00021944</t>
        </is>
      </c>
      <c r="C59" s="2" t="inlineStr">
        <is>
          <t>Google LLC</t>
        </is>
      </c>
      <c r="D59" s="2" t="inlineStr">
        <is>
          <t>PO structure limitation</t>
        </is>
      </c>
      <c r="E59" s="4" t="n">
        <v>46221</v>
      </c>
      <c r="F59" s="5">
        <f>TODAY()-E59</f>
        <v/>
      </c>
      <c r="G59" s="3" t="inlineStr">
        <is>
          <t>No</t>
        </is>
      </c>
      <c r="H59" s="3" t="n"/>
      <c r="I59" s="2" t="inlineStr">
        <is>
          <t>Diego</t>
        </is>
      </c>
    </row>
    <row r="60">
      <c r="A60" s="2" t="inlineStr">
        <is>
          <t>6a5ff5b00564bab9d00a3571</t>
        </is>
      </c>
      <c r="B60" s="3" t="inlineStr">
        <is>
          <t>CMQILNEW1064</t>
        </is>
      </c>
      <c r="C60" s="2" t="inlineStr">
        <is>
          <t>AIRBUS SAS</t>
        </is>
      </c>
      <c r="D60" s="2" t="inlineStr">
        <is>
          <t>Rejected invoice found in portal</t>
        </is>
      </c>
      <c r="E60" s="4" t="n">
        <v>46224</v>
      </c>
      <c r="F60" s="5">
        <f>TODAY()-E60</f>
        <v/>
      </c>
      <c r="G60" s="3" t="inlineStr">
        <is>
          <t>No</t>
        </is>
      </c>
      <c r="H60" s="3" t="n"/>
      <c r="I60" s="2" t="inlineStr"/>
    </row>
    <row r="61">
      <c r="A61" s="2" t="inlineStr">
        <is>
          <t>6a61dcbe6fb5cedf823b8e07</t>
        </is>
      </c>
      <c r="B61" s="3" t="inlineStr">
        <is>
          <t>INV00023785</t>
        </is>
      </c>
      <c r="C61" s="2" t="inlineStr">
        <is>
          <t>Becton Dickinson and Company</t>
        </is>
      </c>
      <c r="D61" s="2" t="inlineStr">
        <is>
          <t>Rejected invoice found in portal</t>
        </is>
      </c>
      <c r="E61" s="4" t="n">
        <v>46226</v>
      </c>
      <c r="F61" s="5">
        <f>TODAY()-E61</f>
        <v/>
      </c>
      <c r="G61" s="3" t="inlineStr">
        <is>
          <t>No</t>
        </is>
      </c>
      <c r="H61" s="3" t="n"/>
      <c r="I61" s="2" t="inlineStr"/>
    </row>
    <row r="62">
      <c r="A62" s="2" t="inlineStr">
        <is>
          <t>6a622e988650f72378714f8c</t>
        </is>
      </c>
      <c r="B62" s="3" t="inlineStr">
        <is>
          <t>470131</t>
        </is>
      </c>
      <c r="C62" s="2" t="inlineStr">
        <is>
          <t>Rubrik  Inc. | Rubrik  Inc</t>
        </is>
      </c>
      <c r="D62" s="2" t="inlineStr">
        <is>
          <t>Customer doesn't exist</t>
        </is>
      </c>
      <c r="E62" s="4" t="n">
        <v>46226</v>
      </c>
      <c r="F62" s="5">
        <f>TODAY()-E62</f>
        <v/>
      </c>
      <c r="G62" s="3" t="inlineStr">
        <is>
          <t>No</t>
        </is>
      </c>
      <c r="H62" s="3" t="n"/>
      <c r="I62" s="2" t="inlineStr"/>
    </row>
    <row r="63">
      <c r="A63" s="2" t="inlineStr">
        <is>
          <t>6a63fadfe8b47f1c3ea9103a</t>
        </is>
      </c>
      <c r="B63" s="3" t="inlineStr">
        <is>
          <t>INV00020822</t>
        </is>
      </c>
      <c r="C63" s="2" t="inlineStr">
        <is>
          <t>Atlassian</t>
        </is>
      </c>
      <c r="D63" s="2" t="inlineStr">
        <is>
          <t>Rejected invoice found in portal</t>
        </is>
      </c>
      <c r="E63" s="4" t="n">
        <v>46227</v>
      </c>
      <c r="F63" s="5">
        <f>TODAY()-E63</f>
        <v/>
      </c>
      <c r="G63" s="3" t="inlineStr">
        <is>
          <t>No</t>
        </is>
      </c>
      <c r="H63" s="3" t="n"/>
      <c r="I63" s="2" t="inlineStr"/>
    </row>
    <row r="64">
      <c r="A64" s="2" t="inlineStr">
        <is>
          <t>6a646ce7ee20787312731dc8</t>
        </is>
      </c>
      <c r="B64" s="3" t="inlineStr">
        <is>
          <t>INV00020071CR</t>
        </is>
      </c>
      <c r="C64" s="2" t="inlineStr">
        <is>
          <t>Telstra Limited</t>
        </is>
      </c>
      <c r="D64" s="2" t="inlineStr">
        <is>
          <t>Rejected invoice found in portal</t>
        </is>
      </c>
      <c r="E64" s="4" t="n">
        <v>46228</v>
      </c>
      <c r="F64" s="5">
        <f>TODAY()-E64</f>
        <v/>
      </c>
      <c r="G64" s="3" t="inlineStr">
        <is>
          <t>No</t>
        </is>
      </c>
      <c r="H64" s="3" t="n"/>
      <c r="I64" s="2" t="inlineStr"/>
    </row>
    <row r="65">
      <c r="A65" s="2" t="inlineStr">
        <is>
          <t>6a646cfdee20787312731dc9</t>
        </is>
      </c>
      <c r="B65" s="3" t="inlineStr">
        <is>
          <t>INV00020071RI</t>
        </is>
      </c>
      <c r="C65" s="2" t="inlineStr">
        <is>
          <t>Telstra Limited</t>
        </is>
      </c>
      <c r="D65" s="2" t="inlineStr">
        <is>
          <t>Rejected invoice found in portal</t>
        </is>
      </c>
      <c r="E65" s="4" t="n">
        <v>46228</v>
      </c>
      <c r="F65" s="5">
        <f>TODAY()-E65</f>
        <v/>
      </c>
      <c r="G65" s="3" t="inlineStr">
        <is>
          <t>No</t>
        </is>
      </c>
      <c r="H65" s="3" t="n"/>
      <c r="I65" s="2" t="inlineStr"/>
    </row>
    <row r="66">
      <c r="A66" s="2" t="inlineStr">
        <is>
          <t>6a6898fe87284c929df260e6</t>
        </is>
      </c>
      <c r="B66" s="3" t="inlineStr">
        <is>
          <t>471559</t>
        </is>
      </c>
      <c r="C66" s="2" t="inlineStr">
        <is>
          <t>EIRCOM LIMITED</t>
        </is>
      </c>
      <c r="D66" s="2" t="inlineStr">
        <is>
          <t>PO funds insufficient</t>
        </is>
      </c>
      <c r="E66" s="4" t="n">
        <v>46231</v>
      </c>
      <c r="F66" s="5">
        <f>TODAY()-E66</f>
        <v/>
      </c>
      <c r="G66" s="3" t="inlineStr">
        <is>
          <t>No</t>
        </is>
      </c>
      <c r="H66" s="3" t="n"/>
      <c r="I66" s="2" t="inlineStr"/>
    </row>
    <row r="67">
      <c r="A67" s="2" t="inlineStr">
        <is>
          <t>6a68860e0d6393e5af11f1dd</t>
        </is>
      </c>
      <c r="B67" s="3" t="inlineStr">
        <is>
          <t>464873</t>
        </is>
      </c>
      <c r="C67" s="2" t="inlineStr">
        <is>
          <t>HCL TECHNOLOGIES LIMITED | EX</t>
        </is>
      </c>
      <c r="D67" s="2" t="inlineStr">
        <is>
          <t>Invoice Amount Due is Incorrect</t>
        </is>
      </c>
      <c r="E67" s="4" t="n">
        <v>46231</v>
      </c>
      <c r="F67" s="5">
        <f>TODAY()-E67</f>
        <v/>
      </c>
      <c r="G67" s="3" t="inlineStr">
        <is>
          <t>No</t>
        </is>
      </c>
      <c r="H67" s="3" t="n"/>
      <c r="I67" s="2" t="inlineStr"/>
    </row>
    <row r="68">
      <c r="A68" s="2" t="inlineStr">
        <is>
          <t>6a680fe11649880fae9f42b9</t>
        </is>
      </c>
      <c r="B68" s="3" t="inlineStr">
        <is>
          <t>4800217313</t>
        </is>
      </c>
      <c r="C68" s="2" t="inlineStr">
        <is>
          <t>Elanco Animal Health Inc.</t>
        </is>
      </c>
      <c r="D68" s="2" t="inlineStr">
        <is>
          <t>Rejected invoice found in portal</t>
        </is>
      </c>
      <c r="E68" s="4" t="n">
        <v>46231</v>
      </c>
      <c r="F68" s="5">
        <f>TODAY()-E68</f>
        <v/>
      </c>
      <c r="G68" s="3" t="inlineStr">
        <is>
          <t>No</t>
        </is>
      </c>
      <c r="H68" s="3" t="n"/>
      <c r="I68" s="2" t="inlineStr"/>
    </row>
    <row r="69">
      <c r="A69" s="2" t="inlineStr">
        <is>
          <t>6a680fe01649880fae9f42b8</t>
        </is>
      </c>
      <c r="B69" s="3" t="inlineStr">
        <is>
          <t>INV00021679</t>
        </is>
      </c>
      <c r="C69" s="2" t="inlineStr">
        <is>
          <t>TAFE NSW</t>
        </is>
      </c>
      <c r="D69" s="2" t="inlineStr">
        <is>
          <t>Rejected invoice found in portal</t>
        </is>
      </c>
      <c r="E69" s="4" t="n">
        <v>46231</v>
      </c>
      <c r="F69" s="5">
        <f>TODAY()-E69</f>
        <v/>
      </c>
      <c r="G69" s="3" t="inlineStr">
        <is>
          <t>No</t>
        </is>
      </c>
      <c r="H69" s="3" t="n"/>
      <c r="I69" s="2" t="inlineStr"/>
    </row>
    <row r="70">
      <c r="A70" s="2" t="inlineStr">
        <is>
          <t>6a68854c0d6393e5af11f1dc</t>
        </is>
      </c>
      <c r="B70" s="3" t="inlineStr">
        <is>
          <t>INV00022114</t>
        </is>
      </c>
      <c r="C70" s="2" t="inlineStr">
        <is>
          <t>Bank of Western Australia Ltd</t>
        </is>
      </c>
      <c r="D70" s="2" t="inlineStr">
        <is>
          <t>Non-submission issue</t>
        </is>
      </c>
      <c r="E70" s="4" t="n">
        <v>46231</v>
      </c>
      <c r="F70" s="5">
        <f>TODAY()-E70</f>
        <v/>
      </c>
      <c r="G70" s="3" t="inlineStr">
        <is>
          <t>No</t>
        </is>
      </c>
      <c r="H70" s="3" t="n"/>
      <c r="I70" s="2" t="inlineStr"/>
    </row>
    <row r="71">
      <c r="A71" s="2" t="inlineStr">
        <is>
          <t>6a69b0b46b2a95aa10ec0f05</t>
        </is>
      </c>
      <c r="B71" s="3" t="inlineStr">
        <is>
          <t>471288</t>
        </is>
      </c>
      <c r="C71" s="2" t="inlineStr">
        <is>
          <t>HCL TECHNOLOGIES LIMITED | EX</t>
        </is>
      </c>
      <c r="D71" s="2" t="inlineStr">
        <is>
          <t>Non-submission issue</t>
        </is>
      </c>
      <c r="E71" s="4" t="n">
        <v>46232</v>
      </c>
      <c r="F71" s="5">
        <f>TODAY()-E71</f>
        <v/>
      </c>
      <c r="G71" s="3" t="inlineStr">
        <is>
          <t>No</t>
        </is>
      </c>
      <c r="H71" s="3" t="n"/>
      <c r="I71" s="2" t="inlineStr"/>
    </row>
    <row r="72">
      <c r="A72" s="2" t="inlineStr">
        <is>
          <t>6a6b4083cd736a824a33a289</t>
        </is>
      </c>
      <c r="B72" s="3" t="inlineStr">
        <is>
          <t>INV00023889</t>
        </is>
      </c>
      <c r="C72" s="2" t="inlineStr">
        <is>
          <t>Diversey Inc</t>
        </is>
      </c>
      <c r="D72" s="2" t="inlineStr">
        <is>
          <t>Portal Connection</t>
        </is>
      </c>
      <c r="E72" s="4" t="n">
        <v>46233</v>
      </c>
      <c r="F72" s="5">
        <f>TODAY()-E72</f>
        <v/>
      </c>
      <c r="G72" s="3" t="inlineStr">
        <is>
          <t>No</t>
        </is>
      </c>
      <c r="H72" s="3" t="n"/>
      <c r="I72" s="2" t="inlineStr"/>
    </row>
    <row r="73">
      <c r="A73" s="2" t="inlineStr">
        <is>
          <t>6a6b452a672a4bee774b5d32</t>
        </is>
      </c>
      <c r="B73" s="3" t="inlineStr">
        <is>
          <t>469418</t>
        </is>
      </c>
      <c r="C73" s="2" t="inlineStr">
        <is>
          <t>Burberry Group plc | Burberry Contact Centre</t>
        </is>
      </c>
      <c r="D73" s="2" t="inlineStr">
        <is>
          <t>PO structure limitation</t>
        </is>
      </c>
      <c r="E73" s="4" t="n">
        <v>46233</v>
      </c>
      <c r="F73" s="5">
        <f>TODAY()-E73</f>
        <v/>
      </c>
      <c r="G73" s="3" t="inlineStr">
        <is>
          <t>No</t>
        </is>
      </c>
      <c r="H73" s="3" t="n"/>
      <c r="I73" s="2" t="inlineStr">
        <is>
          <t>Diego</t>
        </is>
      </c>
    </row>
    <row r="74">
      <c r="A74" s="2" t="inlineStr">
        <is>
          <t>6a6b6f001a64a2448644d09f</t>
        </is>
      </c>
      <c r="B74" s="3" t="inlineStr">
        <is>
          <t>438167-B</t>
        </is>
      </c>
      <c r="C74" s="2" t="inlineStr">
        <is>
          <t>Fresenius Medical Care</t>
        </is>
      </c>
      <c r="D74" s="2" t="inlineStr">
        <is>
          <t>Rejected invoice found in portal</t>
        </is>
      </c>
      <c r="E74" s="4" t="n">
        <v>46233</v>
      </c>
      <c r="F74" s="5">
        <f>TODAY()-E74</f>
        <v/>
      </c>
      <c r="G74" s="3" t="inlineStr">
        <is>
          <t>No</t>
        </is>
      </c>
      <c r="H74" s="3" t="n"/>
      <c r="I74" s="2" t="inlineStr"/>
    </row>
    <row r="75">
      <c r="A75" s="2" t="inlineStr">
        <is>
          <t>6a6ef1975b0015f335b81a56</t>
        </is>
      </c>
      <c r="B75" s="3" t="inlineStr">
        <is>
          <t>471617</t>
        </is>
      </c>
      <c r="C75" s="2" t="inlineStr">
        <is>
          <t>Telstra Limited | Telstra Limited</t>
        </is>
      </c>
      <c r="D75" s="2" t="inlineStr">
        <is>
          <t>Portal Connection</t>
        </is>
      </c>
      <c r="E75" s="4" t="n">
        <v>46236</v>
      </c>
      <c r="F75" s="5">
        <f>TODAY()-E75</f>
        <v/>
      </c>
      <c r="G75" s="3" t="inlineStr">
        <is>
          <t>No</t>
        </is>
      </c>
      <c r="H75" s="3" t="n"/>
      <c r="I75" s="2" t="inlineStr"/>
    </row>
    <row r="76">
      <c r="A76" s="2" t="inlineStr">
        <is>
          <t>6a6ef66d52d2eee98e08fc68</t>
        </is>
      </c>
      <c r="B76" s="3" t="inlineStr">
        <is>
          <t>INV00020660</t>
        </is>
      </c>
      <c r="C76" s="2" t="inlineStr">
        <is>
          <t>Signature Flight Support Corporation | Signature Aviation</t>
        </is>
      </c>
      <c r="D76" s="2" t="inlineStr">
        <is>
          <t>PO is closed for invoicing</t>
        </is>
      </c>
      <c r="E76" s="4" t="n">
        <v>46236</v>
      </c>
      <c r="F76" s="5">
        <f>TODAY()-E76</f>
        <v/>
      </c>
      <c r="G76" s="3" t="inlineStr">
        <is>
          <t>No</t>
        </is>
      </c>
      <c r="H76" s="3" t="n"/>
      <c r="I76" s="2" t="inlineStr"/>
    </row>
    <row r="77">
      <c r="A77" s="2" t="inlineStr">
        <is>
          <t>6a6f0c984941050d388ab9ee</t>
        </is>
      </c>
      <c r="B77" s="3" t="inlineStr">
        <is>
          <t>471656</t>
        </is>
      </c>
      <c r="C77" s="2" t="inlineStr">
        <is>
          <t>One Medical Group  Inc. | 1Life Healthcare</t>
        </is>
      </c>
      <c r="D77" s="2" t="inlineStr">
        <is>
          <t>Missing PO</t>
        </is>
      </c>
      <c r="E77" s="4" t="n">
        <v>46236</v>
      </c>
      <c r="F77" s="5">
        <f>TODAY()-E77</f>
        <v/>
      </c>
      <c r="G77" s="3" t="inlineStr">
        <is>
          <t>No</t>
        </is>
      </c>
      <c r="H77" s="3" t="n"/>
      <c r="I77" s="2" t="inlineStr"/>
    </row>
    <row r="78">
      <c r="A78" s="2" t="inlineStr">
        <is>
          <t>6a6f2e9310a4099750a2da63</t>
        </is>
      </c>
      <c r="B78" s="3" t="inlineStr">
        <is>
          <t>INV00023795</t>
        </is>
      </c>
      <c r="C78" s="2" t="inlineStr">
        <is>
          <t>Connect Holding II LLC d/b/a Brightspeed</t>
        </is>
      </c>
      <c r="D78" s="2" t="inlineStr">
        <is>
          <t>Missing PO</t>
        </is>
      </c>
      <c r="E78" s="4" t="n">
        <v>46236</v>
      </c>
      <c r="F78" s="5">
        <f>TODAY()-E78</f>
        <v/>
      </c>
      <c r="G78" s="3" t="inlineStr">
        <is>
          <t>No</t>
        </is>
      </c>
      <c r="H78" s="3" t="n"/>
      <c r="I78" s="2" t="inlineStr"/>
    </row>
    <row r="79">
      <c r="A79" s="2" t="inlineStr">
        <is>
          <t>6a7037b9cb8c962a1852a0cb</t>
        </is>
      </c>
      <c r="B79" s="3" t="inlineStr">
        <is>
          <t>471154</t>
        </is>
      </c>
      <c r="C79" s="2" t="inlineStr">
        <is>
          <t>Nestlé S.A.</t>
        </is>
      </c>
      <c r="D79" s="2" t="inlineStr">
        <is>
          <t>PO funds insufficient</t>
        </is>
      </c>
      <c r="E79" s="4" t="n">
        <v>46237</v>
      </c>
      <c r="F79" s="5">
        <f>TODAY()-E79</f>
        <v/>
      </c>
      <c r="G79" s="3" t="inlineStr">
        <is>
          <t>No</t>
        </is>
      </c>
      <c r="H79" s="3" t="n"/>
      <c r="I79" s="2" t="inlineStr"/>
    </row>
    <row r="80">
      <c r="A80" s="2" t="inlineStr">
        <is>
          <t>6a705142c7b762f20984706d</t>
        </is>
      </c>
      <c r="B80" s="3" t="inlineStr">
        <is>
          <t>471232</t>
        </is>
      </c>
      <c r="C80" s="2" t="inlineStr">
        <is>
          <t>Google Fiber</t>
        </is>
      </c>
      <c r="D80" s="2" t="inlineStr">
        <is>
          <t>Portal Connection</t>
        </is>
      </c>
      <c r="E80" s="4" t="n">
        <v>46237</v>
      </c>
      <c r="F80" s="5">
        <f>TODAY()-E80</f>
        <v/>
      </c>
      <c r="G80" s="3" t="inlineStr">
        <is>
          <t>No</t>
        </is>
      </c>
      <c r="H80" s="3" t="n"/>
      <c r="I80" s="2" t="inlineStr"/>
    </row>
    <row r="81">
      <c r="A81" s="2" t="inlineStr">
        <is>
          <t>6a7149c89920d90c1cd647ab</t>
        </is>
      </c>
      <c r="B81" s="3" t="inlineStr">
        <is>
          <t>INV00023866</t>
        </is>
      </c>
      <c r="C81" s="2" t="inlineStr">
        <is>
          <t>General Motors</t>
        </is>
      </c>
      <c r="D81" s="2" t="inlineStr">
        <is>
          <t>Rejected invoice found in portal</t>
        </is>
      </c>
      <c r="E81" s="4" t="n">
        <v>46238</v>
      </c>
      <c r="F81" s="5">
        <f>TODAY()-E81</f>
        <v/>
      </c>
      <c r="G81" s="3" t="inlineStr">
        <is>
          <t>No</t>
        </is>
      </c>
      <c r="H81" s="3" t="n"/>
      <c r="I81" s="2" t="inlineStr"/>
    </row>
    <row r="82">
      <c r="A82" s="2" t="inlineStr">
        <is>
          <t>6a719ddde9f2d021b0e261ef</t>
        </is>
      </c>
      <c r="B82" s="3" t="inlineStr">
        <is>
          <t>471697</t>
        </is>
      </c>
      <c r="C82" s="2" t="inlineStr">
        <is>
          <t>Ebay Inc.</t>
        </is>
      </c>
      <c r="D82" s="2" t="inlineStr">
        <is>
          <t>Missing PO</t>
        </is>
      </c>
      <c r="E82" s="4" t="n">
        <v>46238</v>
      </c>
      <c r="F82" s="5">
        <f>TODAY()-E82</f>
        <v/>
      </c>
      <c r="G82" s="3" t="inlineStr">
        <is>
          <t>No</t>
        </is>
      </c>
      <c r="H82" s="3" t="n"/>
      <c r="I82" s="2" t="inlineStr"/>
    </row>
    <row r="83">
      <c r="A83" s="2" t="inlineStr">
        <is>
          <t>6a734ffaea4b6afb55340c4c</t>
        </is>
      </c>
      <c r="B83" s="3" t="inlineStr">
        <is>
          <t>INV00025400</t>
        </is>
      </c>
      <c r="C83" s="2" t="inlineStr">
        <is>
          <t>3M Company</t>
        </is>
      </c>
      <c r="D83" s="2" t="inlineStr">
        <is>
          <t>Incomplete WO</t>
        </is>
      </c>
      <c r="E83" s="4" t="n">
        <v>46239</v>
      </c>
      <c r="F83" s="5">
        <f>TODAY()-E83</f>
        <v/>
      </c>
      <c r="G83" s="3" t="inlineStr">
        <is>
          <t>No</t>
        </is>
      </c>
      <c r="H83" s="3" t="n"/>
      <c r="I83" s="2" t="inlineStr"/>
    </row>
    <row r="84">
      <c r="A84" s="2" t="inlineStr">
        <is>
          <t>6a73ecae367d6f90a3347620</t>
        </is>
      </c>
      <c r="B84" s="3" t="inlineStr">
        <is>
          <t>INV00022357</t>
        </is>
      </c>
      <c r="C84" s="2" t="inlineStr">
        <is>
          <t>Nationwide</t>
        </is>
      </c>
      <c r="D84" s="2" t="inlineStr">
        <is>
          <t>Rejected invoice found in portal</t>
        </is>
      </c>
      <c r="E84" s="4" t="n">
        <v>46240</v>
      </c>
      <c r="F84" s="5">
        <f>TODAY()-E84</f>
        <v/>
      </c>
      <c r="G84" s="3" t="inlineStr">
        <is>
          <t>No</t>
        </is>
      </c>
      <c r="H84" s="3" t="n"/>
      <c r="I84" s="2" t="inlineStr"/>
    </row>
    <row r="85">
      <c r="A85" s="2" t="inlineStr">
        <is>
          <t>6a747e05df95019ca4d6a01a</t>
        </is>
      </c>
      <c r="B85" s="3" t="inlineStr">
        <is>
          <t>INV00024074</t>
        </is>
      </c>
      <c r="C85" s="2" t="inlineStr">
        <is>
          <t>Bank of Western Australia Ltd</t>
        </is>
      </c>
      <c r="D85" s="2" t="inlineStr">
        <is>
          <t>Non-submission issue</t>
        </is>
      </c>
      <c r="E85" s="4" t="n">
        <v>46240</v>
      </c>
      <c r="F85" s="5">
        <f>TODAY()-E85</f>
        <v/>
      </c>
      <c r="G85" s="3" t="inlineStr">
        <is>
          <t>No</t>
        </is>
      </c>
      <c r="H85" s="3" t="n"/>
      <c r="I85" s="2" t="inlineStr"/>
    </row>
    <row r="86">
      <c r="A86" s="2" t="inlineStr">
        <is>
          <t>6a747e30df95019ca4d6a020</t>
        </is>
      </c>
      <c r="B86" s="3" t="inlineStr">
        <is>
          <t>INV00020003</t>
        </is>
      </c>
      <c r="C86" s="2" t="inlineStr">
        <is>
          <t>Bank of Western Australia Ltd</t>
        </is>
      </c>
      <c r="D86" s="2" t="inlineStr">
        <is>
          <t>Non-submission issue</t>
        </is>
      </c>
      <c r="E86" s="4" t="n">
        <v>46240</v>
      </c>
      <c r="F86" s="5">
        <f>TODAY()-E86</f>
        <v/>
      </c>
      <c r="G86" s="3" t="inlineStr">
        <is>
          <t>No</t>
        </is>
      </c>
      <c r="H86" s="3" t="n"/>
      <c r="I86" s="2" t="inlineStr"/>
    </row>
    <row r="87">
      <c r="A87" s="2" t="inlineStr">
        <is>
          <t>6a75c047951fa3d8a3a5e897</t>
        </is>
      </c>
      <c r="B87" s="3" t="inlineStr">
        <is>
          <t>INV00022895</t>
        </is>
      </c>
      <c r="C87" s="2" t="inlineStr">
        <is>
          <t>Equinix Inc. | Equinix Customer Experience</t>
        </is>
      </c>
      <c r="D87" s="2" t="inlineStr">
        <is>
          <t>Submission functionality is unavailable</t>
        </is>
      </c>
      <c r="E87" s="4" t="n">
        <v>46241</v>
      </c>
      <c r="F87" s="5">
        <f>TODAY()-E87</f>
        <v/>
      </c>
      <c r="G87" s="3" t="inlineStr">
        <is>
          <t>No</t>
        </is>
      </c>
      <c r="H87" s="3" t="n"/>
      <c r="I87" s="2" t="inlineStr"/>
    </row>
    <row r="88">
      <c r="A88" s="2" t="inlineStr">
        <is>
          <t>6a771ca931ac4b9f42081bdb</t>
        </is>
      </c>
      <c r="B88" s="3" t="inlineStr">
        <is>
          <t>471722</t>
        </is>
      </c>
      <c r="C88" s="2" t="inlineStr">
        <is>
          <t>Boeing EX</t>
        </is>
      </c>
      <c r="D88" s="2" t="inlineStr">
        <is>
          <t>Customer doesn't exist</t>
        </is>
      </c>
      <c r="E88" s="4" t="n">
        <v>46242</v>
      </c>
      <c r="F88" s="5">
        <f>TODAY()-E88</f>
        <v/>
      </c>
      <c r="G88" s="3" t="inlineStr">
        <is>
          <t>No</t>
        </is>
      </c>
      <c r="H88" s="3" t="n"/>
      <c r="I88" s="2" t="inlineStr"/>
    </row>
    <row r="89">
      <c r="A89" s="2" t="inlineStr">
        <is>
          <t>6a78d766750ea9343b41bcd4</t>
        </is>
      </c>
      <c r="B89" s="3" t="inlineStr">
        <is>
          <t>471733</t>
        </is>
      </c>
      <c r="C89" s="2" t="inlineStr">
        <is>
          <t>Bio-RAD Laboratories  Inc. | Bio-Rad</t>
        </is>
      </c>
      <c r="D89" s="2" t="inlineStr">
        <is>
          <t>Customer doesn't exist</t>
        </is>
      </c>
      <c r="E89" s="4" t="n">
        <v>46243</v>
      </c>
      <c r="F89" s="5">
        <f>TODAY()-E89</f>
        <v/>
      </c>
      <c r="G89" s="3" t="inlineStr">
        <is>
          <t>No</t>
        </is>
      </c>
      <c r="H89" s="3" t="n"/>
      <c r="I89" s="2" t="inlineStr"/>
    </row>
    <row r="91">
      <c r="C91" s="7" t="inlineStr">
        <is>
          <t>Total exceptions abiertas:</t>
        </is>
      </c>
      <c r="D91" s="7">
        <f>COUNTA(A2:A89)</f>
        <v/>
      </c>
    </row>
    <row r="92">
      <c r="C92" s="7" t="inlineStr">
        <is>
          <t>Con First Note (ya tomadas):</t>
        </is>
      </c>
      <c r="D92" s="7">
        <f>COUNTIF(G2:G89,"Sí")</f>
        <v/>
      </c>
    </row>
    <row r="93">
      <c r="C93" s="7" t="inlineStr">
        <is>
          <t>Con Assignee:</t>
        </is>
      </c>
      <c r="D93" s="7">
        <f>COUNTIF(I2:I89,"?*")</f>
        <v/>
      </c>
    </row>
    <row r="94">
      <c r="C94" s="7" t="inlineStr">
        <is>
          <t>Promedio días abiertas:</t>
        </is>
      </c>
      <c r="D94" s="7">
        <f>ROUND(AVERAGE(F2:F89),1)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2026-08-12T15:11:55Z</dcterms:created>
  <dcterms:modified xsi:type="dcterms:W3CDTF">2026-08-12T15:11:55Z</dcterms:modified>
</cp:coreProperties>
</file>